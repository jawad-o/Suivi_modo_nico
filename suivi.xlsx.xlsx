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  <sheet state="visible" name="Cockpit Interactif" sheetId="2" r:id="rId6"/>
    <sheet state="visible" name="Actions Modération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8">
      <text>
        <t xml:space="preserve">Retirée de l'équipe de modération aujourd'hui pour comportement irrespectueux.</t>
      </text>
    </comment>
  </commentList>
</comments>
</file>

<file path=xl/sharedStrings.xml><?xml version="1.0" encoding="utf-8"?>
<sst xmlns="http://schemas.openxmlformats.org/spreadsheetml/2006/main" count="366" uniqueCount="155">
  <si>
    <t>Nom du Modérateur</t>
  </si>
  <si>
    <t>Jour 12 (Archivé)</t>
  </si>
  <si>
    <t>Jour 13 (Archivé)</t>
  </si>
  <si>
    <t>Jour 14 (Archivé)</t>
  </si>
  <si>
    <t>Jour 15 (04/10)</t>
  </si>
  <si>
    <t>Jour 16 (05/10)</t>
  </si>
  <si>
    <t>Jour 17 (06/10)</t>
  </si>
  <si>
    <t>Jour 18 (07/10)</t>
  </si>
  <si>
    <t>Jour 19 (08/10)</t>
  </si>
  <si>
    <t>Jour 20 (09/10)</t>
  </si>
  <si>
    <t>Jour 21 (10/10)</t>
  </si>
  <si>
    <t>Jour 22 (11/10)</t>
  </si>
  <si>
    <t>Jour 23 (12/10)</t>
  </si>
  <si>
    <t>Jour 24 (13/10)</t>
  </si>
  <si>
    <t>Jour 25 (14/10)</t>
  </si>
  <si>
    <t>Jour 26 (15/10)</t>
  </si>
  <si>
    <t>Jour 27 (16/10)</t>
  </si>
  <si>
    <t>Jour 28 (17/10)</t>
  </si>
  <si>
    <t>Jour 29 (18/10)</t>
  </si>
  <si>
    <t>Jour 30 (19/10)</t>
  </si>
  <si>
    <t>Total Pas là (J15-J16)</t>
  </si>
  <si>
    <t>Total Abs. justifiée</t>
  </si>
  <si>
    <t>Total Active un peu</t>
  </si>
  <si>
    <t>Total Active beaucoup</t>
  </si>
  <si>
    <t>Taux d'assiduité</t>
  </si>
  <si>
    <t>Score Global</t>
  </si>
  <si>
    <t>Grade</t>
  </si>
  <si>
    <t>Tendance</t>
  </si>
  <si>
    <t>Rôles / Remarques</t>
  </si>
  <si>
    <t>lenasticot</t>
  </si>
  <si>
    <t>Pas là</t>
  </si>
  <si>
    <t>Sako76_</t>
  </si>
  <si>
    <t>Active un peu</t>
  </si>
  <si>
    <t>Active beaucoup</t>
  </si>
  <si>
    <t>amandinee_22</t>
  </si>
  <si>
    <t>pnj_rizou</t>
  </si>
  <si>
    <t>bistourii69</t>
  </si>
  <si>
    <t>Absence justifiée</t>
  </si>
  <si>
    <t>issac_45s</t>
  </si>
  <si>
    <t>Vropext</t>
  </si>
  <si>
    <t>Xdayman</t>
  </si>
  <si>
    <t>ARCKOOOOOOOOS</t>
  </si>
  <si>
    <t>ssbk691</t>
  </si>
  <si>
    <t>Mwerte</t>
  </si>
  <si>
    <t>Navidlakers</t>
  </si>
  <si>
    <t>wissale_brk</t>
  </si>
  <si>
    <t>zeerty667</t>
  </si>
  <si>
    <t>moonstoness__</t>
  </si>
  <si>
    <t>seraly_</t>
  </si>
  <si>
    <t>Dr_chay (Retirée - Comportement irrespectueux)</t>
  </si>
  <si>
    <t>-</t>
  </si>
  <si>
    <t>AyssAFK</t>
  </si>
  <si>
    <t>rayaaannn_</t>
  </si>
  <si>
    <t>camilliaa_s</t>
  </si>
  <si>
    <t>Su_wii</t>
  </si>
  <si>
    <t>Laucss</t>
  </si>
  <si>
    <t>jawad_4k</t>
  </si>
  <si>
    <t>uf_th3_dreamzz</t>
  </si>
  <si>
    <t>nini_nesss</t>
  </si>
  <si>
    <t>imRqin</t>
  </si>
  <si>
    <t>naxoo_of</t>
  </si>
  <si>
    <t>eren835_</t>
  </si>
  <si>
    <t>spideradl</t>
  </si>
  <si>
    <t>enzoot_</t>
  </si>
  <si>
    <t>TbKyronOxf</t>
  </si>
  <si>
    <t>juuliiee__</t>
  </si>
  <si>
    <t>Lizukiii</t>
  </si>
  <si>
    <t>Phenicia10</t>
  </si>
  <si>
    <t>alizee05_</t>
  </si>
  <si>
    <t>Nico_la</t>
  </si>
  <si>
    <t>samol1t0</t>
  </si>
  <si>
    <t>LeBob_tv</t>
  </si>
  <si>
    <t>Rang</t>
  </si>
  <si>
    <t>Modérateur</t>
  </si>
  <si>
    <t>Score</t>
  </si>
  <si>
    <t>ASSIDUITÉ MOYENNE</t>
  </si>
  <si>
    <t>SCORE MOYEN</t>
  </si>
  <si>
    <t>MODOS ACTIFS</t>
  </si>
  <si>
    <t>ALERTES FANTÔME</t>
  </si>
  <si>
    <t>EFFECTIF TOTAL</t>
  </si>
  <si>
    <t>🥇 1er</t>
  </si>
  <si>
    <t>🥈 2ème</t>
  </si>
  <si>
    <t>🥉 3ème</t>
  </si>
  <si>
    <t>Période active (J15-J16)</t>
  </si>
  <si>
    <t>Points actifs / modo</t>
  </si>
  <si>
    <t>Top &amp; Actifs (≥ 3 pts)</t>
  </si>
  <si>
    <t>À surveiller / Relancer</t>
  </si>
  <si>
    <t>Membres sous suivi</t>
  </si>
  <si>
    <t>🛡️ COCKPIT DE PILOTAGE ET PERFORMANCE DES MODÉRATEURS</t>
  </si>
  <si>
    <t>Modérateur (Top)</t>
  </si>
  <si>
    <t>Effectif</t>
  </si>
  <si>
    <t>Suivi d'activité en temps réel • Période active J15-J16 • Analyse individuelle et collective</t>
  </si>
  <si>
    <t>👑 Top Modo</t>
  </si>
  <si>
    <t>👥 EFFECTIF TOTAL</t>
  </si>
  <si>
    <t>📈 ASSIDUITÉ MOYENNE</t>
  </si>
  <si>
    <t>⭐ MODOS ACTIFS</t>
  </si>
  <si>
    <t>⚠️ ALERTES FANTÔME</t>
  </si>
  <si>
    <t>🎯 SCORE MOYEN</t>
  </si>
  <si>
    <t>⚡ ACTIONS ÉQUIPE</t>
  </si>
  <si>
    <t>⭐ Modo Actif</t>
  </si>
  <si>
    <t>🔎 En observation</t>
  </si>
  <si>
    <t>Membres opérationnels</t>
  </si>
  <si>
    <t>Taux moyen (J15-J16)</t>
  </si>
  <si>
    <t>Période active (2 jours)</t>
  </si>
  <si>
    <t>⚠️ Danger fantôme</t>
  </si>
  <si>
    <t>👤 PROFIL INDIVIDUEL DU MODÉRATEUR</t>
  </si>
  <si>
    <t>⚡ FILTRE PAR GRADE &amp; VUE DYNAMIQUE (38 MODÉRATEURS)</t>
  </si>
  <si>
    <t>Sélection :</t>
  </si>
  <si>
    <t>TOUS</t>
  </si>
  <si>
    <t>Grade actuel :</t>
  </si>
  <si>
    <t>Statut / Rôle :</t>
  </si>
  <si>
    <t>Score (J15-J16)</t>
  </si>
  <si>
    <t>Assiduité</t>
  </si>
  <si>
    <t>Sessions (+)</t>
  </si>
  <si>
    <t>Statut / Rôle</t>
  </si>
  <si>
    <t>Score Global :</t>
  </si>
  <si>
    <t>Taux d'assiduité :</t>
  </si>
  <si>
    <t>📊 RÉPARTITION DÉTAILLÉE DES SESSIONS (PÉRIODE ACTIVE J15-J16)</t>
  </si>
  <si>
    <t>🟢 Active beaucoup</t>
  </si>
  <si>
    <t>🟡 Active un peu</t>
  </si>
  <si>
    <t>🔵 Abs. justifiée</t>
  </si>
  <si>
    <t>🔴 Pas là</t>
  </si>
  <si>
    <t>⚡ Présence active</t>
  </si>
  <si>
    <t>Jauge assiduité :</t>
  </si>
  <si>
    <t>⚔️ ACTIONS DE MODÉRATION RÉELLES (J15 - J16)</t>
  </si>
  <si>
    <t>Total Actions :</t>
  </si>
  <si>
    <t>Moyenne / Jour :</t>
  </si>
  <si>
    <t>Total Cumulé</t>
  </si>
  <si>
    <t>🎯 OBJECTIFS &amp; ATTEINTE DE CIBLE HEBDO</t>
  </si>
  <si>
    <t>Cible Hebdomadaire :</t>
  </si>
  <si>
    <t>Actions 7j (estimées) :</t>
  </si>
  <si>
    <t>Taux d'Atteinte :</t>
  </si>
  <si>
    <t>Statut Objectif :</t>
  </si>
  <si>
    <t>Jauge d'atteinte :</t>
  </si>
  <si>
    <t>📌 SYNTHÈSE OPÉRATIONNELLE &amp; RECOMMANDATIONS RH (PÉRIODE ACTIVE J15-J16)</t>
  </si>
  <si>
    <t>👑 Pôle Top Modos (5 membres) : jawad_4k, uf_th3_dreamzz, imRqin, AyssAFK, nini_nesss (score maximal 6/6, 100% assiduité) mènent la cadence.</t>
  </si>
  <si>
    <t>Action : Valorisation &amp; maintien prioritaire des droits de modération et créneaux clés.</t>
  </si>
  <si>
    <t>⭐ Pôle Modos Actifs (7 membres) : Sako76_, amandinee_22, Xdayman, moonstoness__, Su_wii, naxoo_of, eren835_ maintiennent un solide engagement constant.</t>
  </si>
  <si>
    <t>Action : Maintien du rythme et renforcement des interventions en période de pointe.</t>
  </si>
  <si>
    <t>🔎 Pôle En observation (14 membres) : ARCKOOOOOOOOS, ssbk691, Mwerte, wissale_brk, spideradl, enzoot_, etc. sont en suivi actif.</t>
  </si>
  <si>
    <t>⚠️ Pôle Risque Fantôme (11 membres) : Absence de présence active sur J15-J16. Relances individuelles recommandées.</t>
  </si>
  <si>
    <t>💡 Astuce interactive : Utilisez les sélecteurs en C8 (profil modo) et I8 (filtre par grade) pour piloter l'effectif en temps réel !</t>
  </si>
  <si>
    <t>⚔️ BILAN GLOBAL</t>
  </si>
  <si>
    <t>⚡ ACTIONS TOTALES (J15-J16)</t>
  </si>
  <si>
    <t>📈 MOYENNE / JOUR</t>
  </si>
  <si>
    <t>👑 TOP CONTRIBUTEUR</t>
  </si>
  <si>
    <t>👥 MODOS ACTIFS</t>
  </si>
  <si>
    <t>Cumul équipe (2 jours)</t>
  </si>
  <si>
    <t>Actions / jour en moyenne</t>
  </si>
  <si>
    <t>Total Actions</t>
  </si>
  <si>
    <t>Moyenne / Jour</t>
  </si>
  <si>
    <t>Tendance (J15-J16)</t>
  </si>
  <si>
    <t>Jour</t>
  </si>
  <si>
    <t>Actions Totales</t>
  </si>
  <si>
    <t>TOTAL ÉQUIPE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</si>
</sst>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"/>
    <numFmt numFmtId="166" formatCode="#,##0.0"/>
  </numFmts>
  <fonts count="71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sz val="10.0"/>
      <color theme="1"/>
      <name val="Roboto"/>
    </font>
    <font>
      <b/>
      <sz val="10.0"/>
      <color theme="1"/>
      <name val="Roboto"/>
    </font>
    <font>
      <b/>
      <sz val="9.0"/>
      <color rgb="FFFFFFFF"/>
      <name val="Arial"/>
      <scheme val="minor"/>
    </font>
    <font/>
    <font>
      <b/>
      <sz val="9.0"/>
      <color rgb="FF4238C9"/>
      <name val="Arial"/>
      <scheme val="minor"/>
    </font>
    <font>
      <b/>
      <sz val="9.0"/>
      <color rgb="FF0268A0"/>
      <name val="Arial"/>
      <scheme val="minor"/>
    </font>
    <font>
      <b/>
      <sz val="9.0"/>
      <color rgb="FF057756"/>
      <name val="Arial"/>
      <scheme val="minor"/>
    </font>
    <font>
      <b/>
      <sz val="9.0"/>
      <color rgb="FFBF113D"/>
      <name val="Arial"/>
      <scheme val="minor"/>
    </font>
    <font>
      <b/>
      <sz val="9.0"/>
      <color rgb="FF475468"/>
      <name val="Arial"/>
      <scheme val="minor"/>
    </font>
    <font>
      <b/>
      <sz val="10.0"/>
      <color theme="1"/>
      <name val="Arial"/>
      <scheme val="minor"/>
    </font>
    <font>
      <b/>
      <sz val="18.0"/>
      <color rgb="FF302D82"/>
      <name val="Arial"/>
      <scheme val="minor"/>
    </font>
    <font>
      <b/>
      <sz val="18.0"/>
      <color rgb="FF0C496D"/>
      <name val="Arial"/>
      <scheme val="minor"/>
    </font>
    <font>
      <b/>
      <sz val="18.0"/>
      <color rgb="FF055E44"/>
      <name val="Arial"/>
      <scheme val="minor"/>
    </font>
    <font>
      <b/>
      <sz val="18.0"/>
      <color rgb="FF9E1138"/>
      <name val="Arial"/>
      <scheme val="minor"/>
    </font>
    <font>
      <b/>
      <sz val="18.0"/>
      <color rgb="FF1E283A"/>
      <name val="Arial"/>
      <scheme val="minor"/>
    </font>
    <font>
      <sz val="8.0"/>
      <color rgb="FF6366F2"/>
      <name val="Arial"/>
      <scheme val="minor"/>
    </font>
    <font>
      <sz val="8.0"/>
      <color rgb="FF0284C6"/>
      <name val="Arial"/>
      <scheme val="minor"/>
    </font>
    <font>
      <sz val="8.0"/>
      <color rgb="FF059668"/>
      <name val="Arial"/>
      <scheme val="minor"/>
    </font>
    <font>
      <sz val="8.0"/>
      <color rgb="FFE01C47"/>
      <name val="Arial"/>
      <scheme val="minor"/>
    </font>
    <font>
      <sz val="8.0"/>
      <color rgb="FF63758C"/>
      <name val="Arial"/>
      <scheme val="minor"/>
    </font>
    <font>
      <b/>
      <sz val="10.0"/>
      <color rgb="FF703E12"/>
      <name val="Roboto"/>
    </font>
    <font>
      <b/>
      <sz val="10.0"/>
      <color rgb="FF1E293A"/>
      <name val="Roboto"/>
    </font>
    <font>
      <b/>
      <sz val="10.0"/>
      <color rgb="FF7B2C12"/>
      <name val="Roboto"/>
    </font>
    <font>
      <b/>
      <sz val="9.0"/>
      <color rgb="FF4C5966"/>
      <name val="Roboto"/>
    </font>
    <font>
      <b/>
      <sz val="10.0"/>
      <color rgb="FF192633"/>
      <name val="Roboto"/>
    </font>
    <font>
      <sz val="10.0"/>
      <color rgb="FF191C21"/>
      <name val="Roboto"/>
    </font>
    <font>
      <b/>
      <sz val="13.0"/>
      <color rgb="FFFFFFFF"/>
      <name val="Arial"/>
      <scheme val="minor"/>
    </font>
    <font>
      <sz val="9.0"/>
      <color rgb="FFA5B5D1"/>
      <name val="Arial"/>
      <scheme val="minor"/>
    </font>
    <font>
      <b/>
      <sz val="9.0"/>
      <color rgb="FFB2540A"/>
      <name val="Arial"/>
      <scheme val="minor"/>
    </font>
    <font>
      <b/>
      <sz val="18.0"/>
      <color rgb="FF0F1628"/>
      <name val="Arial"/>
      <scheme val="minor"/>
    </font>
    <font>
      <b/>
      <sz val="18.0"/>
      <color rgb="FF77350F"/>
      <name val="Arial"/>
      <scheme val="minor"/>
    </font>
    <font>
      <sz val="8.0"/>
      <color rgb="FFD87705"/>
      <name val="Arial"/>
      <scheme val="minor"/>
    </font>
    <font>
      <sz val="9.0"/>
      <color rgb="FF191C21"/>
      <name val="Roboto"/>
    </font>
    <font>
      <b/>
      <sz val="10.0"/>
      <color rgb="FF1E3A89"/>
      <name val="Arial"/>
      <scheme val="minor"/>
    </font>
    <font>
      <b/>
      <sz val="10.0"/>
      <color rgb="FF1E3FAF"/>
      <name val="Arial"/>
      <scheme val="minor"/>
    </font>
    <font>
      <i/>
      <sz val="9.0"/>
      <color rgb="FF63758C"/>
      <name val="Arial"/>
      <scheme val="minor"/>
    </font>
    <font>
      <b/>
      <color rgb="FF4C596D"/>
      <name val="Arial"/>
      <scheme val="minor"/>
    </font>
    <font>
      <b/>
      <color rgb="FF0F1628"/>
      <name val="Arial"/>
      <scheme val="minor"/>
    </font>
    <font>
      <b/>
      <sz val="9.0"/>
      <color rgb="FF667284"/>
      <name val="Roboto"/>
    </font>
    <font>
      <b/>
      <color rgb="FF1E3A89"/>
      <name val="Arial"/>
      <scheme val="minor"/>
    </font>
    <font>
      <sz val="9.0"/>
      <color theme="1"/>
      <name val="Roboto"/>
    </font>
    <font>
      <b/>
      <sz val="9.0"/>
      <color theme="1"/>
      <name val="Roboto"/>
    </font>
    <font>
      <b/>
      <sz val="9.0"/>
      <color rgb="FF1E3A89"/>
      <name val="Arial"/>
      <scheme val="minor"/>
    </font>
    <font>
      <b/>
      <sz val="9.0"/>
      <color rgb="FF6B21AD"/>
      <name val="Arial"/>
      <scheme val="minor"/>
    </font>
    <font>
      <b/>
      <sz val="12.0"/>
      <color theme="1"/>
      <name val="Arial"/>
      <scheme val="minor"/>
    </font>
    <font>
      <b/>
      <sz val="8.0"/>
      <color rgb="FF667284"/>
      <name val="Roboto"/>
    </font>
    <font>
      <b/>
      <sz val="9.0"/>
      <color rgb="FF4C596D"/>
      <name val="Arial"/>
      <scheme val="minor"/>
    </font>
    <font>
      <b/>
      <sz val="11.0"/>
      <color rgb="FF0F1628"/>
      <name val="Arial"/>
      <scheme val="minor"/>
    </font>
    <font>
      <b/>
      <sz val="9.0"/>
      <color rgb="FF333F54"/>
      <name val="Arial"/>
      <scheme val="minor"/>
    </font>
    <font>
      <b/>
      <sz val="11.0"/>
      <color theme="1"/>
      <name val="Arial"/>
      <scheme val="minor"/>
    </font>
    <font>
      <b/>
      <sz val="10.0"/>
      <color rgb="FF333333"/>
      <name val="Roboto"/>
    </font>
    <font>
      <b/>
      <sz val="11.0"/>
      <color rgb="FF057756"/>
      <name val="Arial"/>
      <scheme val="minor"/>
    </font>
    <font>
      <b/>
      <sz val="10.0"/>
      <color rgb="FF057756"/>
      <name val="Arial"/>
      <scheme val="minor"/>
    </font>
    <font>
      <i/>
      <sz val="9.0"/>
      <color rgb="FF055E44"/>
      <name val="Arial"/>
      <scheme val="minor"/>
    </font>
    <font>
      <b/>
      <sz val="9.0"/>
      <color rgb="FF1C4FD8"/>
      <name val="Arial"/>
      <scheme val="minor"/>
    </font>
    <font>
      <i/>
      <sz val="9.0"/>
      <color rgb="FF1E3FAF"/>
      <name val="Arial"/>
      <scheme val="minor"/>
    </font>
    <font>
      <i/>
      <sz val="9.0"/>
      <color rgb="FF993311"/>
      <name val="Arial"/>
      <scheme val="minor"/>
    </font>
    <font>
      <sz val="9.0"/>
      <color rgb="FF475468"/>
      <name val="Arial"/>
      <scheme val="minor"/>
    </font>
    <font>
      <i/>
      <sz val="8.0"/>
      <color rgb="FF0C9366"/>
      <name val="Roboto"/>
    </font>
    <font>
      <b/>
      <sz val="9.0"/>
      <color rgb="FF19263F"/>
      <name val="Roboto"/>
    </font>
    <font>
      <i/>
      <sz val="8.0"/>
      <color rgb="FF2663EA"/>
      <name val="Roboto"/>
    </font>
    <font>
      <i/>
      <sz val="8.0"/>
      <color rgb="FFDB2626"/>
      <name val="Roboto"/>
    </font>
    <font>
      <sz val="9.0"/>
      <color rgb="FF193F99"/>
      <name val="Roboto"/>
    </font>
    <font>
      <b/>
      <sz val="9.0"/>
      <color rgb="FF1E3FAF"/>
      <name val="Arial"/>
      <scheme val="minor"/>
    </font>
    <font>
      <b/>
      <sz val="18.0"/>
      <color rgb="FF1E3A89"/>
      <name val="Arial"/>
      <scheme val="minor"/>
    </font>
    <font>
      <b/>
      <sz val="15.0"/>
      <color rgb="FF77350F"/>
      <name val="Arial"/>
      <scheme val="minor"/>
    </font>
    <font>
      <color theme="1"/>
      <name val="Arial"/>
      <scheme val="minor"/>
    </font>
    <font>
      <b/>
      <sz val="10.0"/>
      <color rgb="FF0F1628"/>
      <name val="Arial"/>
      <scheme val="minor"/>
    </font>
    <font>
      <b/>
      <sz val="10.0"/>
      <color rgb="FF0F162A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1E293A"/>
        <bgColor rgb="FF1E293A"/>
      </patternFill>
    </fill>
    <fill>
      <patternFill patternType="solid">
        <fgColor rgb="FFFFFFFF"/>
        <bgColor rgb="FFFFFFFF"/>
      </patternFill>
    </fill>
    <fill>
      <patternFill patternType="solid">
        <fgColor rgb="FFF8F9FB"/>
        <bgColor rgb="FFF8F9FB"/>
      </patternFill>
    </fill>
    <fill>
      <patternFill patternType="solid">
        <fgColor rgb="FFEDF1FF"/>
        <bgColor rgb="FFEDF1FF"/>
      </patternFill>
    </fill>
    <fill>
      <patternFill patternType="solid">
        <fgColor rgb="FFEFF8FF"/>
        <bgColor rgb="FFEFF8FF"/>
      </patternFill>
    </fill>
    <fill>
      <patternFill patternType="solid">
        <fgColor rgb="FFEBFCF4"/>
        <bgColor rgb="FFEBFCF4"/>
      </patternFill>
    </fill>
    <fill>
      <patternFill patternType="solid">
        <fgColor rgb="FFFFF0F1"/>
        <bgColor rgb="FFFFF0F1"/>
      </patternFill>
    </fill>
    <fill>
      <patternFill patternType="solid">
        <fgColor rgb="FFF1F5F9"/>
        <bgColor rgb="FFF1F5F9"/>
      </patternFill>
    </fill>
    <fill>
      <patternFill patternType="solid">
        <fgColor rgb="FFF7F9FF"/>
        <bgColor rgb="FFF7F9FF"/>
      </patternFill>
    </fill>
    <fill>
      <patternFill patternType="solid">
        <fgColor rgb="FFF6FBFF"/>
        <bgColor rgb="FFF6FBFF"/>
      </patternFill>
    </fill>
    <fill>
      <patternFill patternType="solid">
        <fgColor rgb="FFF4FDF9"/>
        <bgColor rgb="FFF4FDF9"/>
      </patternFill>
    </fill>
    <fill>
      <patternFill patternType="solid">
        <fgColor rgb="FFFFF7F7"/>
        <bgColor rgb="FFFFF7F7"/>
      </patternFill>
    </fill>
    <fill>
      <patternFill patternType="solid">
        <fgColor rgb="FFF7F9FB"/>
        <bgColor rgb="FFF7F9FB"/>
      </patternFill>
    </fill>
    <fill>
      <patternFill patternType="solid">
        <fgColor rgb="FF141C2D"/>
        <bgColor rgb="FF141C2D"/>
      </patternFill>
    </fill>
    <fill>
      <patternFill patternType="solid">
        <fgColor rgb="FFFFF9EA"/>
        <bgColor rgb="FFFFF9EA"/>
      </patternFill>
    </fill>
    <fill>
      <patternFill patternType="solid">
        <fgColor rgb="FFFFFCF4"/>
        <bgColor rgb="FFFFFCF4"/>
      </patternFill>
    </fill>
    <fill>
      <patternFill patternType="solid">
        <fgColor rgb="FFF9FBFC"/>
        <bgColor rgb="FFF9FBFC"/>
      </patternFill>
    </fill>
    <fill>
      <patternFill patternType="solid">
        <fgColor rgb="FFF4EDFF"/>
        <bgColor rgb="FFF4EDFF"/>
      </patternFill>
    </fill>
    <fill>
      <patternFill patternType="solid">
        <fgColor rgb="FFEDF4FF"/>
        <bgColor rgb="FFEDF4FF"/>
      </patternFill>
    </fill>
    <fill>
      <patternFill patternType="solid">
        <fgColor rgb="FFF0F5F8"/>
        <bgColor rgb="FFF0F5F8"/>
      </patternFill>
    </fill>
  </fills>
  <borders count="155">
    <border/>
    <border>
      <left style="thin">
        <color rgb="FFBFC6D6"/>
      </left>
      <right style="thin">
        <color rgb="FFE5E8ED"/>
      </right>
      <top style="thin">
        <color rgb="FFBFC6D6"/>
      </top>
      <bottom style="thin">
        <color rgb="FFD8DDE5"/>
      </bottom>
    </border>
    <border>
      <left style="thin">
        <color rgb="FFE5E8ED"/>
      </left>
      <right style="thin">
        <color rgb="FFE5E8ED"/>
      </right>
      <top style="thin">
        <color rgb="FFBFC6D6"/>
      </top>
      <bottom style="thin">
        <color rgb="FFD8DDE5"/>
      </bottom>
    </border>
    <border>
      <left style="thin">
        <color rgb="FFE5E8ED"/>
      </left>
      <right style="thin">
        <color rgb="FFBFC6D6"/>
      </right>
      <top style="thin">
        <color rgb="FFBFC6D6"/>
      </top>
      <bottom style="thin">
        <color rgb="FFD8DDE5"/>
      </bottom>
    </border>
    <border>
      <left style="thin">
        <color rgb="FFBFC6D6"/>
      </left>
      <right style="thin">
        <color rgb="FFE5E8ED"/>
      </right>
      <top style="thin">
        <color rgb="FFD8DDE5"/>
      </top>
      <bottom style="thin">
        <color rgb="FFD8DDE5"/>
      </bottom>
    </border>
    <border>
      <left style="thin">
        <color rgb="FFE5E8ED"/>
      </left>
      <right style="thin">
        <color rgb="FFE5E8ED"/>
      </right>
      <top style="thin">
        <color rgb="FFD8DDE5"/>
      </top>
      <bottom style="thin">
        <color rgb="FFD8DDE5"/>
      </bottom>
    </border>
    <border>
      <left style="thin">
        <color rgb="FFE5E8ED"/>
      </left>
      <right style="thin">
        <color rgb="FFBFC6D6"/>
      </right>
      <top style="thin">
        <color rgb="FFD8DDE5"/>
      </top>
      <bottom style="thin">
        <color rgb="FFD8DDE5"/>
      </bottom>
    </border>
    <border>
      <left style="thin">
        <color rgb="FFBFC6D6"/>
      </left>
      <right style="thin">
        <color rgb="FFE5E8ED"/>
      </right>
      <top style="thin">
        <color rgb="FFD8DDE5"/>
      </top>
      <bottom style="thin">
        <color rgb="FFBFC6D6"/>
      </bottom>
    </border>
    <border>
      <left style="thin">
        <color rgb="FFE5E8ED"/>
      </left>
      <right style="thin">
        <color rgb="FFE5E8ED"/>
      </right>
      <top style="thin">
        <color rgb="FFD8DDE5"/>
      </top>
      <bottom style="thin">
        <color rgb="FFBFC6D6"/>
      </bottom>
    </border>
    <border>
      <left style="thin">
        <color rgb="FFE5E8ED"/>
      </left>
      <right style="thin">
        <color rgb="FFBFC6D6"/>
      </right>
      <top style="thin">
        <color rgb="FFD8DDE5"/>
      </top>
      <bottom style="thin">
        <color rgb="FFBFC6D6"/>
      </bottom>
    </border>
    <border>
      <left style="thin">
        <color rgb="FFBFC6D6"/>
      </left>
      <right style="thin">
        <color rgb="FFE0E5ED"/>
      </right>
      <top style="thin">
        <color rgb="FFBFC6D6"/>
      </top>
      <bottom style="thin">
        <color rgb="FFE0E5ED"/>
      </bottom>
    </border>
    <border>
      <left style="thin">
        <color rgb="FFE0E5ED"/>
      </left>
      <top style="thin">
        <color rgb="FFBFC6D6"/>
      </top>
      <bottom style="thin">
        <color rgb="FFE0E5ED"/>
      </bottom>
    </border>
    <border>
      <right style="thin">
        <color rgb="FFE0E5ED"/>
      </right>
      <top style="thin">
        <color rgb="FFBFC6D6"/>
      </top>
      <bottom style="thin">
        <color rgb="FFE0E5ED"/>
      </bottom>
    </border>
    <border>
      <left style="thin">
        <color rgb="FFE0E5ED"/>
      </left>
      <right style="thin">
        <color rgb="FFBFC6D6"/>
      </right>
      <top style="thin">
        <color rgb="FFBFC6D6"/>
      </top>
      <bottom style="thin">
        <color rgb="FFE0E5ED"/>
      </bottom>
    </border>
    <border>
      <left style="thin">
        <color rgb="FFC6D1FF"/>
      </left>
      <top style="thin">
        <color rgb="FFC6D1FF"/>
      </top>
      <bottom style="thin">
        <color rgb="FFE1E8EF"/>
      </bottom>
    </border>
    <border>
      <top style="thin">
        <color rgb="FFC6D1FF"/>
      </top>
      <bottom style="thin">
        <color rgb="FFE1E8EF"/>
      </bottom>
    </border>
    <border>
      <right style="thin">
        <color rgb="FFC6D1FF"/>
      </right>
      <top style="thin">
        <color rgb="FFC6D1FF"/>
      </top>
      <bottom style="thin">
        <color rgb="FFE1E8EF"/>
      </bottom>
    </border>
    <border>
      <left style="thin">
        <color rgb="FFBAE5FC"/>
      </left>
      <top style="thin">
        <color rgb="FFBAE5FC"/>
      </top>
      <bottom style="thin">
        <color rgb="FFE1E8EF"/>
      </bottom>
    </border>
    <border>
      <top style="thin">
        <color rgb="FFBAE5FC"/>
      </top>
      <bottom style="thin">
        <color rgb="FFE1E8EF"/>
      </bottom>
    </border>
    <border>
      <right style="thin">
        <color rgb="FFBAE5FC"/>
      </right>
      <top style="thin">
        <color rgb="FFBAE5FC"/>
      </top>
      <bottom style="thin">
        <color rgb="FFE1E8EF"/>
      </bottom>
    </border>
    <border>
      <left style="thin">
        <color rgb="FFA5F2D1"/>
      </left>
      <top style="thin">
        <color rgb="FFA5F2D1"/>
      </top>
      <bottom style="thin">
        <color rgb="FFDCFBE7"/>
      </bottom>
    </border>
    <border>
      <top style="thin">
        <color rgb="FFA5F2D1"/>
      </top>
      <bottom style="thin">
        <color rgb="FFDCFBE7"/>
      </bottom>
    </border>
    <border>
      <right style="thin">
        <color rgb="FFA5F2D1"/>
      </right>
      <top style="thin">
        <color rgb="FFA5F2D1"/>
      </top>
      <bottom style="thin">
        <color rgb="FFDCFBE7"/>
      </bottom>
    </border>
    <border>
      <left style="thin">
        <color rgb="FFFCCCD3"/>
      </left>
      <top style="thin">
        <color rgb="FFFCCCD3"/>
      </top>
      <bottom style="thin">
        <color rgb="FFFDE1E1"/>
      </bottom>
    </border>
    <border>
      <top style="thin">
        <color rgb="FFFCCCD3"/>
      </top>
      <bottom style="thin">
        <color rgb="FFFDE1E1"/>
      </bottom>
    </border>
    <border>
      <right style="thin">
        <color rgb="FFFCCCD3"/>
      </right>
      <top style="thin">
        <color rgb="FFFCCCD3"/>
      </top>
      <bottom style="thin">
        <color rgb="FFFDE1E1"/>
      </bottom>
    </border>
    <border>
      <left style="thin">
        <color rgb="FFE0E5ED"/>
      </left>
      <top style="thin">
        <color rgb="FFE0E5ED"/>
      </top>
      <bottom style="thin">
        <color rgb="FFE1E8EF"/>
      </bottom>
    </border>
    <border>
      <top style="thin">
        <color rgb="FFE0E5ED"/>
      </top>
      <bottom style="thin">
        <color rgb="FFE1E8EF"/>
      </bottom>
    </border>
    <border>
      <right style="thin">
        <color rgb="FFE0E5ED"/>
      </right>
      <top style="thin">
        <color rgb="FFE0E5ED"/>
      </top>
      <bottom style="thin">
        <color rgb="FFE1E8EF"/>
      </bottom>
    </border>
    <border>
      <left style="thin">
        <color rgb="FFBFC6D6"/>
      </left>
      <right style="thin">
        <color rgb="FFE0E5ED"/>
      </right>
      <top style="thin">
        <color rgb="FFE0E5ED"/>
      </top>
      <bottom style="thin">
        <color rgb="FFE0E5ED"/>
      </bottom>
    </border>
    <border>
      <left style="thin">
        <color rgb="FFE0E5ED"/>
      </left>
      <top style="thin">
        <color rgb="FFE0E5ED"/>
      </top>
      <bottom style="thin">
        <color rgb="FFE0E5ED"/>
      </bottom>
    </border>
    <border>
      <right style="thin">
        <color rgb="FFE0E5ED"/>
      </right>
      <top style="thin">
        <color rgb="FFE0E5ED"/>
      </top>
      <bottom style="thin">
        <color rgb="FFE0E5ED"/>
      </bottom>
    </border>
    <border>
      <left style="thin">
        <color rgb="FFE0E5ED"/>
      </left>
      <right style="thin">
        <color rgb="FFBFC6D6"/>
      </right>
      <top style="thin">
        <color rgb="FFE0E5ED"/>
      </top>
      <bottom style="thin">
        <color rgb="FFE0E5ED"/>
      </bottom>
    </border>
    <border>
      <left style="thin">
        <color rgb="FFC6D1FF"/>
      </left>
      <top style="thin">
        <color rgb="FFE1E8EF"/>
      </top>
    </border>
    <border>
      <top style="thin">
        <color rgb="FFE1E8EF"/>
      </top>
    </border>
    <border>
      <right style="thin">
        <color rgb="FFC6D1FF"/>
      </right>
      <top style="thin">
        <color rgb="FFE1E8EF"/>
      </top>
    </border>
    <border>
      <left style="thin">
        <color rgb="FFBAE5FC"/>
      </left>
      <top style="thin">
        <color rgb="FFE1E8EF"/>
      </top>
    </border>
    <border>
      <right style="thin">
        <color rgb="FFBAE5FC"/>
      </right>
      <top style="thin">
        <color rgb="FFE1E8EF"/>
      </top>
    </border>
    <border>
      <left style="thin">
        <color rgb="FFA5F2D1"/>
      </left>
      <top style="thin">
        <color rgb="FFDCFBE7"/>
      </top>
    </border>
    <border>
      <top style="thin">
        <color rgb="FFDCFBE7"/>
      </top>
    </border>
    <border>
      <right style="thin">
        <color rgb="FFA5F2D1"/>
      </right>
      <top style="thin">
        <color rgb="FFDCFBE7"/>
      </top>
    </border>
    <border>
      <left style="thin">
        <color rgb="FFFCCCD3"/>
      </left>
      <top style="thin">
        <color rgb="FFFDE1E1"/>
      </top>
    </border>
    <border>
      <top style="thin">
        <color rgb="FFFDE1E1"/>
      </top>
    </border>
    <border>
      <right style="thin">
        <color rgb="FFFCCCD3"/>
      </right>
      <top style="thin">
        <color rgb="FFFDE1E1"/>
      </top>
    </border>
    <border>
      <left style="thin">
        <color rgb="FFE0E5ED"/>
      </left>
      <top style="thin">
        <color rgb="FFE1E8EF"/>
      </top>
    </border>
    <border>
      <right style="thin">
        <color rgb="FFE0E5ED"/>
      </right>
      <top style="thin">
        <color rgb="FFE1E8EF"/>
      </top>
    </border>
    <border>
      <left style="thin">
        <color rgb="FFC6D1FF"/>
      </left>
      <bottom style="thin">
        <color rgb="FFE1E8EF"/>
      </bottom>
    </border>
    <border>
      <bottom style="thin">
        <color rgb="FFE1E8EF"/>
      </bottom>
    </border>
    <border>
      <right style="thin">
        <color rgb="FFC6D1FF"/>
      </right>
      <bottom style="thin">
        <color rgb="FFE1E8EF"/>
      </bottom>
    </border>
    <border>
      <left style="thin">
        <color rgb="FFBAE5FC"/>
      </left>
      <bottom style="thin">
        <color rgb="FFE1E8EF"/>
      </bottom>
    </border>
    <border>
      <right style="thin">
        <color rgb="FFBAE5FC"/>
      </right>
      <bottom style="thin">
        <color rgb="FFE1E8EF"/>
      </bottom>
    </border>
    <border>
      <left style="thin">
        <color rgb="FFA5F2D1"/>
      </left>
      <bottom style="thin">
        <color rgb="FFDCFBE7"/>
      </bottom>
    </border>
    <border>
      <bottom style="thin">
        <color rgb="FFDCFBE7"/>
      </bottom>
    </border>
    <border>
      <right style="thin">
        <color rgb="FFA5F2D1"/>
      </right>
      <bottom style="thin">
        <color rgb="FFDCFBE7"/>
      </bottom>
    </border>
    <border>
      <left style="thin">
        <color rgb="FFFCCCD3"/>
      </left>
      <bottom style="thin">
        <color rgb="FFFDE1E1"/>
      </bottom>
    </border>
    <border>
      <bottom style="thin">
        <color rgb="FFFDE1E1"/>
      </bottom>
    </border>
    <border>
      <right style="thin">
        <color rgb="FFFCCCD3"/>
      </right>
      <bottom style="thin">
        <color rgb="FFFDE1E1"/>
      </bottom>
    </border>
    <border>
      <left style="thin">
        <color rgb="FFE0E5ED"/>
      </left>
      <bottom style="thin">
        <color rgb="FFE1E8EF"/>
      </bottom>
    </border>
    <border>
      <right style="thin">
        <color rgb="FFE0E5ED"/>
      </right>
      <bottom style="thin">
        <color rgb="FFE1E8EF"/>
      </bottom>
    </border>
    <border>
      <left style="thin">
        <color rgb="FFBFC6D6"/>
      </left>
      <right style="thin">
        <color rgb="FFE0E5ED"/>
      </right>
      <top style="thin">
        <color rgb="FFE0E5ED"/>
      </top>
      <bottom style="thin">
        <color rgb="FFBFC6D6"/>
      </bottom>
    </border>
    <border>
      <left style="thin">
        <color rgb="FFE0E5ED"/>
      </left>
      <top style="thin">
        <color rgb="FFE0E5ED"/>
      </top>
      <bottom style="thin">
        <color rgb="FFBFC6D6"/>
      </bottom>
    </border>
    <border>
      <right style="thin">
        <color rgb="FFE0E5ED"/>
      </right>
      <top style="thin">
        <color rgb="FFE0E5ED"/>
      </top>
      <bottom style="thin">
        <color rgb="FFBFC6D6"/>
      </bottom>
    </border>
    <border>
      <left style="thin">
        <color rgb="FFE0E5ED"/>
      </left>
      <right style="thin">
        <color rgb="FFBFC6D6"/>
      </right>
      <top style="thin">
        <color rgb="FFE0E5ED"/>
      </top>
      <bottom style="thin">
        <color rgb="FFBFC6D6"/>
      </bottom>
    </border>
    <border>
      <left style="thin">
        <color rgb="FFC6D1FF"/>
      </left>
      <top style="thin">
        <color rgb="FFE1E8EF"/>
      </top>
      <bottom style="thin">
        <color rgb="FFC6D1FF"/>
      </bottom>
    </border>
    <border>
      <top style="thin">
        <color rgb="FFE1E8EF"/>
      </top>
      <bottom style="thin">
        <color rgb="FFC6D1FF"/>
      </bottom>
    </border>
    <border>
      <right style="thin">
        <color rgb="FFC6D1FF"/>
      </right>
      <top style="thin">
        <color rgb="FFE1E8EF"/>
      </top>
      <bottom style="thin">
        <color rgb="FFC6D1FF"/>
      </bottom>
    </border>
    <border>
      <left style="thin">
        <color rgb="FFBAE5FC"/>
      </left>
      <top style="thin">
        <color rgb="FFE1E8EF"/>
      </top>
      <bottom style="thin">
        <color rgb="FFBAE5FC"/>
      </bottom>
    </border>
    <border>
      <top style="thin">
        <color rgb="FFE1E8EF"/>
      </top>
      <bottom style="thin">
        <color rgb="FFBAE5FC"/>
      </bottom>
    </border>
    <border>
      <right style="thin">
        <color rgb="FFBAE5FC"/>
      </right>
      <top style="thin">
        <color rgb="FFE1E8EF"/>
      </top>
      <bottom style="thin">
        <color rgb="FFBAE5FC"/>
      </bottom>
    </border>
    <border>
      <left style="thin">
        <color rgb="FFA5F2D1"/>
      </left>
      <top style="thin">
        <color rgb="FFDCFBE7"/>
      </top>
      <bottom style="thin">
        <color rgb="FFA5F2D1"/>
      </bottom>
    </border>
    <border>
      <top style="thin">
        <color rgb="FFDCFBE7"/>
      </top>
      <bottom style="thin">
        <color rgb="FFA5F2D1"/>
      </bottom>
    </border>
    <border>
      <right style="thin">
        <color rgb="FFA5F2D1"/>
      </right>
      <top style="thin">
        <color rgb="FFDCFBE7"/>
      </top>
      <bottom style="thin">
        <color rgb="FFA5F2D1"/>
      </bottom>
    </border>
    <border>
      <left style="thin">
        <color rgb="FFFCCCD3"/>
      </left>
      <top style="thin">
        <color rgb="FFFDE1E1"/>
      </top>
      <bottom style="thin">
        <color rgb="FFFCCCD3"/>
      </bottom>
    </border>
    <border>
      <top style="thin">
        <color rgb="FFFDE1E1"/>
      </top>
      <bottom style="thin">
        <color rgb="FFFCCCD3"/>
      </bottom>
    </border>
    <border>
      <right style="thin">
        <color rgb="FFFCCCD3"/>
      </right>
      <top style="thin">
        <color rgb="FFFDE1E1"/>
      </top>
      <bottom style="thin">
        <color rgb="FFFCCCD3"/>
      </bottom>
    </border>
    <border>
      <left style="thin">
        <color rgb="FFE0E5ED"/>
      </left>
      <top style="thin">
        <color rgb="FFE1E8EF"/>
      </top>
      <bottom style="thin">
        <color rgb="FFE0E5ED"/>
      </bottom>
    </border>
    <border>
      <top style="thin">
        <color rgb="FFE1E8EF"/>
      </top>
      <bottom style="thin">
        <color rgb="FFE0E5ED"/>
      </bottom>
    </border>
    <border>
      <right style="thin">
        <color rgb="FFE0E5ED"/>
      </right>
      <top style="thin">
        <color rgb="FFE1E8EF"/>
      </top>
      <bottom style="thin">
        <color rgb="FFE0E5ED"/>
      </bottom>
    </border>
    <border>
      <left style="thin">
        <color rgb="FFCCD6E0"/>
      </left>
      <top style="thin">
        <color rgb="FFCCD6E0"/>
      </top>
    </border>
    <border>
      <right style="thin">
        <color rgb="FFCCD6E0"/>
      </right>
      <top style="thin">
        <color rgb="FFCCD6E0"/>
      </top>
    </border>
    <border>
      <left style="thin">
        <color rgb="FFC6D1FF"/>
      </left>
      <top style="thin">
        <color rgb="FFC6D1FF"/>
      </top>
    </border>
    <border>
      <right style="thin">
        <color rgb="FFC6D1FF"/>
      </right>
      <top style="thin">
        <color rgb="FFC6D1FF"/>
      </top>
    </border>
    <border>
      <left style="thin">
        <color rgb="FFA5F2D1"/>
      </left>
      <top style="thin">
        <color rgb="FFA5F2D1"/>
      </top>
    </border>
    <border>
      <right style="thin">
        <color rgb="FFA5F2D1"/>
      </right>
      <top style="thin">
        <color rgb="FFA5F2D1"/>
      </top>
    </border>
    <border>
      <left style="thin">
        <color rgb="FFFCCCD3"/>
      </left>
      <top style="thin">
        <color rgb="FFFCCCD3"/>
      </top>
    </border>
    <border>
      <right style="thin">
        <color rgb="FFFCCCD3"/>
      </right>
      <top style="thin">
        <color rgb="FFFCCCD3"/>
      </top>
    </border>
    <border>
      <left style="thin">
        <color rgb="FFBAE5FC"/>
      </left>
      <top style="thin">
        <color rgb="FFBAE5FC"/>
      </top>
    </border>
    <border>
      <right style="thin">
        <color rgb="FFBAE5FC"/>
      </right>
      <top style="thin">
        <color rgb="FFBAE5FC"/>
      </top>
    </border>
    <border>
      <left style="thin">
        <color rgb="FFFCE589"/>
      </left>
      <top style="thin">
        <color rgb="FFFCE589"/>
      </top>
    </border>
    <border>
      <top style="thin">
        <color rgb="FFFCE589"/>
      </top>
    </border>
    <border>
      <right style="thin">
        <color rgb="FFFCE589"/>
      </right>
      <top style="thin">
        <color rgb="FFFCE589"/>
      </top>
    </border>
    <border>
      <left style="thin">
        <color rgb="FFCCD6E0"/>
      </left>
    </border>
    <border>
      <right style="thin">
        <color rgb="FFCCD6E0"/>
      </right>
    </border>
    <border>
      <left style="thin">
        <color rgb="FFC6D1FF"/>
      </left>
    </border>
    <border>
      <right style="thin">
        <color rgb="FFC6D1FF"/>
      </right>
    </border>
    <border>
      <left style="thin">
        <color rgb="FFA5F2D1"/>
      </left>
    </border>
    <border>
      <right style="thin">
        <color rgb="FFA5F2D1"/>
      </right>
    </border>
    <border>
      <left style="thin">
        <color rgb="FFFCCCD3"/>
      </left>
    </border>
    <border>
      <right style="thin">
        <color rgb="FFFCCCD3"/>
      </right>
    </border>
    <border>
      <left style="thin">
        <color rgb="FFBAE5FC"/>
      </left>
    </border>
    <border>
      <right style="thin">
        <color rgb="FFBAE5FC"/>
      </right>
    </border>
    <border>
      <left style="thin">
        <color rgb="FFFCE589"/>
      </left>
    </border>
    <border>
      <right style="thin">
        <color rgb="FFFCE589"/>
      </right>
    </border>
    <border>
      <left style="thin">
        <color rgb="FFCCD6E0"/>
      </left>
      <bottom style="thin">
        <color rgb="FFCCD6E0"/>
      </bottom>
    </border>
    <border>
      <right style="thin">
        <color rgb="FFCCD6E0"/>
      </right>
      <bottom style="thin">
        <color rgb="FFCCD6E0"/>
      </bottom>
    </border>
    <border>
      <left style="thin">
        <color rgb="FFC6D1FF"/>
      </left>
      <bottom style="thin">
        <color rgb="FFC6D1FF"/>
      </bottom>
    </border>
    <border>
      <right style="thin">
        <color rgb="FFC6D1FF"/>
      </right>
      <bottom style="thin">
        <color rgb="FFC6D1FF"/>
      </bottom>
    </border>
    <border>
      <left style="thin">
        <color rgb="FFA5F2D1"/>
      </left>
      <bottom style="thin">
        <color rgb="FFA5F2D1"/>
      </bottom>
    </border>
    <border>
      <right style="thin">
        <color rgb="FFA5F2D1"/>
      </right>
      <bottom style="thin">
        <color rgb="FFA5F2D1"/>
      </bottom>
    </border>
    <border>
      <left style="thin">
        <color rgb="FFFCCCD3"/>
      </left>
      <bottom style="thin">
        <color rgb="FFFCCCD3"/>
      </bottom>
    </border>
    <border>
      <right style="thin">
        <color rgb="FFFCCCD3"/>
      </right>
      <bottom style="thin">
        <color rgb="FFFCCCD3"/>
      </bottom>
    </border>
    <border>
      <left style="thin">
        <color rgb="FFBAE5FC"/>
      </left>
      <bottom style="thin">
        <color rgb="FFBAE5FC"/>
      </bottom>
    </border>
    <border>
      <right style="thin">
        <color rgb="FFBAE5FC"/>
      </right>
      <bottom style="thin">
        <color rgb="FFBAE5FC"/>
      </bottom>
    </border>
    <border>
      <left style="thin">
        <color rgb="FFFCE589"/>
      </left>
      <bottom style="thin">
        <color rgb="FFFCE589"/>
      </bottom>
    </border>
    <border>
      <bottom style="thin">
        <color rgb="FFFCE589"/>
      </bottom>
    </border>
    <border>
      <right style="thin">
        <color rgb="FFFCE589"/>
      </right>
      <bottom style="thin">
        <color rgb="FFFCE589"/>
      </bottom>
    </border>
    <border>
      <left style="thin">
        <color rgb="FFBFC6D6"/>
      </left>
      <top style="thin">
        <color rgb="FFBFC6D6"/>
      </top>
      <bottom style="thin">
        <color rgb="FFE0E5ED"/>
      </bottom>
    </border>
    <border>
      <top style="thin">
        <color rgb="FFBFC6D6"/>
      </top>
      <bottom style="thin">
        <color rgb="FFE0E5ED"/>
      </bottom>
    </border>
    <border>
      <right style="thin">
        <color rgb="FFBFC6D6"/>
      </right>
      <top style="thin">
        <color rgb="FFBFC6D6"/>
      </top>
      <bottom style="thin">
        <color rgb="FFE0E5ED"/>
      </bottom>
    </border>
    <border>
      <left style="thin">
        <color rgb="FFBFC6D6"/>
      </left>
      <top style="thin">
        <color rgb="FFBFC6D6"/>
      </top>
      <bottom style="thin">
        <color rgb="FFEAEFF4"/>
      </bottom>
    </border>
    <border>
      <top style="thin">
        <color rgb="FFBFC6D6"/>
      </top>
      <bottom style="thin">
        <color rgb="FFEAEFF4"/>
      </bottom>
    </border>
    <border>
      <right style="thin">
        <color rgb="FFBFC6D6"/>
      </right>
      <top style="thin">
        <color rgb="FFBFC6D6"/>
      </top>
      <bottom style="thin">
        <color rgb="FFEAEFF4"/>
      </bottom>
    </border>
    <border>
      <left style="thin">
        <color rgb="FFBFC6D6"/>
      </left>
      <top style="thin">
        <color rgb="FFE0E5ED"/>
      </top>
      <bottom style="thin">
        <color rgb="FFE0E5ED"/>
      </bottom>
    </border>
    <border>
      <top style="thin">
        <color rgb="FFE0E5ED"/>
      </top>
      <bottom style="thin">
        <color rgb="FFE0E5ED"/>
      </bottom>
    </border>
    <border>
      <right style="thin">
        <color rgb="FFBFC6D6"/>
      </right>
      <top style="thin">
        <color rgb="FFE0E5ED"/>
      </top>
      <bottom style="thin">
        <color rgb="FFE0E5ED"/>
      </bottom>
    </border>
    <border>
      <left style="thin">
        <color rgb="FFBFC6D6"/>
      </left>
      <top style="thin">
        <color rgb="FFEAEFF4"/>
      </top>
      <bottom style="thin">
        <color rgb="FFBFC6D6"/>
      </bottom>
    </border>
    <border>
      <top style="thin">
        <color rgb="FFEAEFF4"/>
      </top>
      <bottom style="thin">
        <color rgb="FFBFC6D6"/>
      </bottom>
    </border>
    <border>
      <right style="thin">
        <color rgb="FFBFC6D6"/>
      </right>
      <top style="thin">
        <color rgb="FFEAEFF4"/>
      </top>
      <bottom style="thin">
        <color rgb="FFBFC6D6"/>
      </bottom>
    </border>
    <border>
      <left style="thin">
        <color rgb="FFCCD6E5"/>
      </left>
    </border>
    <border>
      <right style="thin">
        <color rgb="FFCCD6E5"/>
      </right>
    </border>
    <border>
      <left style="thin">
        <color rgb="FFBFC6D6"/>
      </left>
      <right style="thin">
        <color rgb="FFE5EAF2"/>
      </right>
      <top style="thin">
        <color rgb="FFBFC6D6"/>
      </top>
      <bottom style="thin">
        <color rgb="FFE0E5ED"/>
      </bottom>
    </border>
    <border>
      <left style="thin">
        <color rgb="FFE5EAF2"/>
      </left>
      <right style="thin">
        <color rgb="FFE5EAF2"/>
      </right>
      <top style="thin">
        <color rgb="FFBFC6D6"/>
      </top>
      <bottom style="thin">
        <color rgb="FFE0E5ED"/>
      </bottom>
    </border>
    <border>
      <left style="thin">
        <color rgb="FFE5EAF2"/>
      </left>
      <right style="thin">
        <color rgb="FFBFC6D6"/>
      </right>
      <top style="thin">
        <color rgb="FFBFC6D6"/>
      </top>
      <bottom style="thin">
        <color rgb="FFE0E5ED"/>
      </bottom>
    </border>
    <border>
      <left style="thin">
        <color rgb="FFBFC6D6"/>
      </left>
      <top style="thin">
        <color rgb="FFE0E5ED"/>
      </top>
      <bottom style="thin">
        <color rgb="FFBFC6D6"/>
      </bottom>
    </border>
    <border>
      <top style="thin">
        <color rgb="FFE0E5ED"/>
      </top>
      <bottom style="thin">
        <color rgb="FFBFC6D6"/>
      </bottom>
    </border>
    <border>
      <right style="thin">
        <color rgb="FFBFC6D6"/>
      </right>
      <top style="thin">
        <color rgb="FFE0E5ED"/>
      </top>
      <bottom style="thin">
        <color rgb="FFBFC6D6"/>
      </bottom>
    </border>
    <border>
      <left style="thin">
        <color rgb="FFBFC6D6"/>
      </left>
      <right style="thin">
        <color rgb="FFE5EAF2"/>
      </right>
      <top style="thin">
        <color rgb="FFE0E5ED"/>
      </top>
      <bottom style="thin">
        <color rgb="FFE0E5ED"/>
      </bottom>
    </border>
    <border>
      <left style="thin">
        <color rgb="FFE5EAF2"/>
      </left>
      <right style="thin">
        <color rgb="FFE5EAF2"/>
      </right>
      <top style="thin">
        <color rgb="FFE0E5ED"/>
      </top>
      <bottom style="thin">
        <color rgb="FFE0E5ED"/>
      </bottom>
    </border>
    <border>
      <left style="thin">
        <color rgb="FFE5EAF2"/>
      </left>
      <right style="thin">
        <color rgb="FFBFC6D6"/>
      </right>
      <top style="thin">
        <color rgb="FFE0E5ED"/>
      </top>
      <bottom style="thin">
        <color rgb="FFE0E5ED"/>
      </bottom>
    </border>
    <border>
      <left style="thin">
        <color rgb="FFE0E5ED"/>
      </left>
      <right style="thin">
        <color rgb="FFE0E5ED"/>
      </right>
      <top style="thin">
        <color rgb="FFE0E5ED"/>
      </top>
      <bottom style="thin">
        <color rgb="FFE0E5ED"/>
      </bottom>
    </border>
    <border>
      <left style="thin">
        <color rgb="FFCCD6E5"/>
      </left>
      <bottom style="thin">
        <color rgb="FFCCD6E5"/>
      </bottom>
    </border>
    <border>
      <bottom style="thin">
        <color rgb="FFCCD6E5"/>
      </bottom>
    </border>
    <border>
      <right style="thin">
        <color rgb="FFCCD6E5"/>
      </right>
      <bottom style="thin">
        <color rgb="FFCCD6E5"/>
      </bottom>
    </border>
    <border>
      <left style="thin">
        <color rgb="FFBFC6D6"/>
      </left>
      <right style="thin">
        <color rgb="FFE5EAF2"/>
      </right>
      <top style="thin">
        <color rgb="FFE0E5ED"/>
      </top>
      <bottom style="thin">
        <color rgb="FFBFC6D6"/>
      </bottom>
    </border>
    <border>
      <left style="thin">
        <color rgb="FFE5EAF2"/>
      </left>
      <right style="thin">
        <color rgb="FFE5EAF2"/>
      </right>
      <top style="thin">
        <color rgb="FFE0E5ED"/>
      </top>
      <bottom style="thin">
        <color rgb="FFBFC6D6"/>
      </bottom>
    </border>
    <border>
      <left style="thin">
        <color rgb="FFE5EAF2"/>
      </left>
      <right style="thin">
        <color rgb="FFBFC6D6"/>
      </right>
      <top style="thin">
        <color rgb="FFE0E5ED"/>
      </top>
      <bottom style="thin">
        <color rgb="FFBFC6D6"/>
      </bottom>
    </border>
    <border>
      <left style="thin">
        <color rgb="FFCCD8E5"/>
      </left>
      <bottom style="thin">
        <color rgb="FFCCD8E5"/>
      </bottom>
    </border>
    <border>
      <bottom style="thin">
        <color rgb="FFCCD8E5"/>
      </bottom>
    </border>
    <border>
      <right style="thin">
        <color rgb="FFCCD8E5"/>
      </right>
      <bottom style="thin">
        <color rgb="FFCCD8E5"/>
      </bottom>
    </border>
    <border>
      <left style="thin">
        <color rgb="FFBFC6D6"/>
      </left>
      <top style="thin">
        <color rgb="FFBFC6D6"/>
      </top>
    </border>
    <border>
      <left style="thin">
        <color rgb="FFBFC6D6"/>
      </left>
    </border>
    <border>
      <left style="thin">
        <color rgb="FFBFC6D6"/>
      </left>
      <bottom style="thin">
        <color rgb="FFBFC6D6"/>
      </bottom>
    </border>
    <border>
      <left style="thin">
        <color rgb="FFBFC6D6"/>
      </left>
      <right style="thin">
        <color rgb="FFE5EAF2"/>
      </right>
      <top style="thin">
        <color rgb="FFE0E5ED"/>
      </top>
      <bottom style="medium">
        <color rgb="FF66728C"/>
      </bottom>
    </border>
    <border>
      <left style="thin">
        <color rgb="FFE5EAF2"/>
      </left>
      <right style="thin">
        <color rgb="FFE5EAF2"/>
      </right>
      <top style="thin">
        <color rgb="FFE0E5ED"/>
      </top>
      <bottom style="medium">
        <color rgb="FF66728C"/>
      </bottom>
    </border>
    <border>
      <left style="thin">
        <color rgb="FFE5EAF2"/>
      </left>
      <right style="thin">
        <color rgb="FFBFC6D6"/>
      </right>
      <top style="thin">
        <color rgb="FFE0E5ED"/>
      </top>
      <bottom style="medium">
        <color rgb="FF66728C"/>
      </bottom>
    </border>
  </borders>
  <cellStyleXfs count="1">
    <xf borderId="0" fillId="0" fontId="0" numFmtId="0" applyAlignment="1" applyFont="1"/>
  </cellStyleXfs>
  <cellXfs count="2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3" fillId="2" fontId="1" numFmtId="0" xfId="0" applyAlignment="1" applyBorder="1" applyFill="1" applyFont="1">
      <alignment horizontal="center" readingOrder="0" shrinkToFit="0" vertical="center" wrapText="1"/>
    </xf>
    <xf borderId="4" fillId="3" fontId="2" numFmtId="0" xfId="0" applyAlignment="1" applyBorder="1" applyFill="1" applyFont="1">
      <alignment horizontal="left" readingOrder="0" vertical="center"/>
    </xf>
    <xf borderId="5" fillId="3" fontId="2" numFmtId="0" xfId="0" applyAlignment="1" applyBorder="1" applyFill="1" applyFont="1">
      <alignment horizontal="center" readingOrder="0" vertical="center"/>
    </xf>
    <xf borderId="5" fillId="3" fontId="2" numFmtId="0" xfId="0" applyAlignment="1" applyBorder="1" applyFill="1" applyFont="1">
      <alignment horizontal="center" vertical="center"/>
    </xf>
    <xf borderId="5" fillId="3" fontId="2" numFmtId="3" xfId="0" applyAlignment="1" applyBorder="1" applyFill="1" applyFont="1" applyNumberFormat="1">
      <alignment horizontal="center" vertical="center"/>
    </xf>
    <xf borderId="5" fillId="3" fontId="2" numFmtId="164" xfId="0" applyAlignment="1" applyBorder="1" applyFill="1" applyFont="1" applyNumberFormat="1">
      <alignment horizontal="right" vertical="center"/>
    </xf>
    <xf borderId="5" fillId="3" fontId="3" numFmtId="3" xfId="0" applyAlignment="1" applyBorder="1" applyFill="1" applyFont="1" applyNumberFormat="1">
      <alignment horizontal="center" vertical="center"/>
    </xf>
    <xf borderId="5" fillId="3" fontId="3" numFmtId="0" xfId="0" applyAlignment="1" applyBorder="1" applyFill="1" applyFont="1">
      <alignment horizontal="center" vertical="center"/>
    </xf>
    <xf borderId="6" fillId="3" fontId="2" numFmtId="0" xfId="0" applyAlignment="1" applyBorder="1" applyFill="1" applyFont="1">
      <alignment horizontal="left" vertical="center"/>
    </xf>
    <xf borderId="4" fillId="4" fontId="2" numFmtId="0" xfId="0" applyAlignment="1" applyBorder="1" applyFill="1" applyFont="1">
      <alignment horizontal="left" readingOrder="0" vertical="center"/>
    </xf>
    <xf borderId="5" fillId="4" fontId="2" numFmtId="0" xfId="0" applyAlignment="1" applyBorder="1" applyFill="1" applyFont="1">
      <alignment horizontal="center" readingOrder="0" vertical="center"/>
    </xf>
    <xf borderId="5" fillId="4" fontId="2" numFmtId="0" xfId="0" applyAlignment="1" applyBorder="1" applyFill="1" applyFont="1">
      <alignment horizontal="center" vertical="center"/>
    </xf>
    <xf borderId="5" fillId="4" fontId="2" numFmtId="3" xfId="0" applyAlignment="1" applyBorder="1" applyFill="1" applyFont="1" applyNumberFormat="1">
      <alignment horizontal="center" vertical="center"/>
    </xf>
    <xf borderId="5" fillId="4" fontId="2" numFmtId="164" xfId="0" applyAlignment="1" applyBorder="1" applyFill="1" applyFont="1" applyNumberFormat="1">
      <alignment horizontal="right" vertical="center"/>
    </xf>
    <xf borderId="5" fillId="4" fontId="3" numFmtId="3" xfId="0" applyAlignment="1" applyBorder="1" applyFill="1" applyFont="1" applyNumberFormat="1">
      <alignment horizontal="center" vertical="center"/>
    </xf>
    <xf borderId="5" fillId="4" fontId="3" numFmtId="0" xfId="0" applyAlignment="1" applyBorder="1" applyFill="1" applyFont="1">
      <alignment horizontal="center" vertical="center"/>
    </xf>
    <xf borderId="6" fillId="4" fontId="2" numFmtId="0" xfId="0" applyAlignment="1" applyBorder="1" applyFill="1" applyFont="1">
      <alignment horizontal="left" vertical="center"/>
    </xf>
    <xf borderId="5" fillId="3" fontId="2" numFmtId="164" xfId="0" applyAlignment="1" applyBorder="1" applyFill="1" applyFont="1" applyNumberFormat="1">
      <alignment horizontal="right" readingOrder="0" vertical="center"/>
    </xf>
    <xf borderId="5" fillId="3" fontId="3" numFmtId="3" xfId="0" applyAlignment="1" applyBorder="1" applyFill="1" applyFont="1" applyNumberFormat="1">
      <alignment horizontal="center" readingOrder="0" vertical="center"/>
    </xf>
    <xf borderId="7" fillId="4" fontId="2" numFmtId="0" xfId="0" applyAlignment="1" applyBorder="1" applyFill="1" applyFont="1">
      <alignment horizontal="left" readingOrder="0" vertical="center"/>
    </xf>
    <xf borderId="8" fillId="4" fontId="2" numFmtId="0" xfId="0" applyAlignment="1" applyBorder="1" applyFill="1" applyFont="1">
      <alignment horizontal="center" readingOrder="0" vertical="center"/>
    </xf>
    <xf borderId="8" fillId="4" fontId="2" numFmtId="3" xfId="0" applyAlignment="1" applyBorder="1" applyFill="1" applyFont="1" applyNumberFormat="1">
      <alignment horizontal="center" vertical="center"/>
    </xf>
    <xf borderId="8" fillId="4" fontId="2" numFmtId="164" xfId="0" applyAlignment="1" applyBorder="1" applyFill="1" applyFont="1" applyNumberFormat="1">
      <alignment horizontal="right" vertical="center"/>
    </xf>
    <xf borderId="8" fillId="4" fontId="3" numFmtId="3" xfId="0" applyAlignment="1" applyBorder="1" applyFill="1" applyFont="1" applyNumberFormat="1">
      <alignment horizontal="center" vertical="center"/>
    </xf>
    <xf borderId="8" fillId="4" fontId="3" numFmtId="0" xfId="0" applyAlignment="1" applyBorder="1" applyFill="1" applyFont="1">
      <alignment horizontal="center" vertical="center"/>
    </xf>
    <xf borderId="8" fillId="4" fontId="2" numFmtId="0" xfId="0" applyAlignment="1" applyBorder="1" applyFill="1" applyFont="1">
      <alignment horizontal="center" vertical="center"/>
    </xf>
    <xf borderId="9" fillId="4" fontId="2" numFmtId="0" xfId="0" applyAlignment="1" applyBorder="1" applyFill="1" applyFont="1">
      <alignment horizontal="left" vertical="center"/>
    </xf>
    <xf borderId="0" fillId="3" fontId="2" numFmtId="0" xfId="0" applyAlignment="1" applyFill="1" applyFont="1">
      <alignment vertical="center"/>
    </xf>
    <xf borderId="0" fillId="3" fontId="2" numFmtId="0" xfId="0" applyAlignment="1" applyFill="1" applyFont="1">
      <alignment horizontal="left" vertical="center"/>
    </xf>
    <xf borderId="10" fillId="2" fontId="4" numFmtId="0" xfId="0" applyAlignment="1" applyBorder="1" applyFill="1" applyFont="1">
      <alignment horizontal="center" readingOrder="0" vertical="center"/>
    </xf>
    <xf borderId="11" fillId="2" fontId="4" numFmtId="0" xfId="0" applyAlignment="1" applyBorder="1" applyFill="1" applyFont="1">
      <alignment horizontal="center" readingOrder="0" vertical="center"/>
    </xf>
    <xf borderId="12" fillId="0" fontId="5" numFmtId="0" xfId="0" applyBorder="1" applyFont="1"/>
    <xf borderId="13" fillId="2" fontId="4" numFmtId="0" xfId="0" applyAlignment="1" applyBorder="1" applyFill="1" applyFont="1">
      <alignment horizontal="center" readingOrder="0" vertical="center"/>
    </xf>
    <xf borderId="14" fillId="5" fontId="6" numFmtId="0" xfId="0" applyAlignment="1" applyBorder="1" applyFill="1" applyFont="1">
      <alignment horizontal="center" readingOrder="0" vertical="center"/>
    </xf>
    <xf borderId="15" fillId="0" fontId="5" numFmtId="0" xfId="0" applyBorder="1" applyFont="1"/>
    <xf borderId="16" fillId="0" fontId="5" numFmtId="0" xfId="0" applyBorder="1" applyFont="1"/>
    <xf borderId="17" fillId="6" fontId="7" numFmtId="0" xfId="0" applyAlignment="1" applyBorder="1" applyFill="1" applyFont="1">
      <alignment horizontal="center" readingOrder="0" vertical="center"/>
    </xf>
    <xf borderId="18" fillId="0" fontId="5" numFmtId="0" xfId="0" applyBorder="1" applyFont="1"/>
    <xf borderId="19" fillId="0" fontId="5" numFmtId="0" xfId="0" applyBorder="1" applyFont="1"/>
    <xf borderId="20" fillId="7" fontId="8" numFmtId="0" xfId="0" applyAlignment="1" applyBorder="1" applyFill="1" applyFont="1">
      <alignment horizontal="center" readingOrder="0" vertical="center"/>
    </xf>
    <xf borderId="21" fillId="0" fontId="5" numFmtId="0" xfId="0" applyBorder="1" applyFont="1"/>
    <xf borderId="22" fillId="0" fontId="5" numFmtId="0" xfId="0" applyBorder="1" applyFont="1"/>
    <xf borderId="23" fillId="8" fontId="9" numFmtId="0" xfId="0" applyAlignment="1" applyBorder="1" applyFill="1" applyFont="1">
      <alignment horizontal="center" readingOrder="0" vertical="center"/>
    </xf>
    <xf borderId="24" fillId="0" fontId="5" numFmtId="0" xfId="0" applyBorder="1" applyFont="1"/>
    <xf borderId="25" fillId="0" fontId="5" numFmtId="0" xfId="0" applyBorder="1" applyFont="1"/>
    <xf borderId="26" fillId="9" fontId="10" numFmtId="0" xfId="0" applyAlignment="1" applyBorder="1" applyFill="1" applyFont="1">
      <alignment horizontal="center" readingOrder="0" vertical="center"/>
    </xf>
    <xf borderId="27" fillId="0" fontId="5" numFmtId="0" xfId="0" applyBorder="1" applyFont="1"/>
    <xf borderId="28" fillId="0" fontId="5" numFmtId="0" xfId="0" applyBorder="1" applyFont="1"/>
    <xf borderId="29" fillId="3" fontId="11" numFmtId="0" xfId="0" applyAlignment="1" applyBorder="1" applyFill="1" applyFont="1">
      <alignment horizontal="center" readingOrder="0" vertical="center"/>
    </xf>
    <xf borderId="30" fillId="3" fontId="11" numFmtId="0" xfId="0" applyAlignment="1" applyBorder="1" applyFill="1" applyFont="1">
      <alignment horizontal="left" vertical="center"/>
    </xf>
    <xf borderId="31" fillId="0" fontId="5" numFmtId="0" xfId="0" applyBorder="1" applyFont="1"/>
    <xf borderId="32" fillId="3" fontId="11" numFmtId="0" xfId="0" applyAlignment="1" applyBorder="1" applyFill="1" applyFont="1">
      <alignment horizontal="center" vertical="center"/>
    </xf>
    <xf borderId="33" fillId="10" fontId="12" numFmtId="164" xfId="0" applyAlignment="1" applyBorder="1" applyFill="1" applyFont="1" applyNumberFormat="1">
      <alignment horizontal="center" vertical="center"/>
    </xf>
    <xf borderId="34" fillId="0" fontId="5" numFmtId="0" xfId="0" applyBorder="1" applyFont="1"/>
    <xf borderId="35" fillId="0" fontId="5" numFmtId="0" xfId="0" applyBorder="1" applyFont="1"/>
    <xf borderId="36" fillId="11" fontId="13" numFmtId="165" xfId="0" applyAlignment="1" applyBorder="1" applyFill="1" applyFont="1" applyNumberFormat="1">
      <alignment horizontal="center" vertical="center"/>
    </xf>
    <xf borderId="37" fillId="0" fontId="5" numFmtId="0" xfId="0" applyBorder="1" applyFont="1"/>
    <xf borderId="38" fillId="12" fontId="14" numFmtId="1" xfId="0" applyAlignment="1" applyBorder="1" applyFill="1" applyFont="1" applyNumberFormat="1">
      <alignment horizontal="center" vertical="center"/>
    </xf>
    <xf borderId="39" fillId="0" fontId="5" numFmtId="0" xfId="0" applyBorder="1" applyFont="1"/>
    <xf borderId="40" fillId="0" fontId="5" numFmtId="0" xfId="0" applyBorder="1" applyFont="1"/>
    <xf borderId="41" fillId="13" fontId="15" numFmtId="1" xfId="0" applyAlignment="1" applyBorder="1" applyFill="1" applyFont="1" applyNumberFormat="1">
      <alignment horizontal="center" vertical="center"/>
    </xf>
    <xf borderId="42" fillId="0" fontId="5" numFmtId="0" xfId="0" applyBorder="1" applyFont="1"/>
    <xf borderId="43" fillId="0" fontId="5" numFmtId="0" xfId="0" applyBorder="1" applyFont="1"/>
    <xf borderId="44" fillId="4" fontId="16" numFmtId="1" xfId="0" applyAlignment="1" applyBorder="1" applyFill="1" applyFont="1" applyNumberFormat="1">
      <alignment horizontal="center" vertical="center"/>
    </xf>
    <xf borderId="45" fillId="0" fontId="5" numFmtId="0" xfId="0" applyBorder="1" applyFont="1"/>
    <xf borderId="46" fillId="0" fontId="5" numFmtId="0" xfId="0" applyBorder="1" applyFont="1"/>
    <xf borderId="47" fillId="0" fontId="5" numFmtId="0" xfId="0" applyBorder="1" applyFont="1"/>
    <xf borderId="48" fillId="0" fontId="5" numFmtId="0" xfId="0" applyBorder="1" applyFont="1"/>
    <xf borderId="49" fillId="0" fontId="5" numFmtId="0" xfId="0" applyBorder="1" applyFont="1"/>
    <xf borderId="50" fillId="0" fontId="5" numFmtId="0" xfId="0" applyBorder="1" applyFont="1"/>
    <xf borderId="51" fillId="0" fontId="5" numFmtId="0" xfId="0" applyBorder="1" applyFont="1"/>
    <xf borderId="52" fillId="0" fontId="5" numFmtId="0" xfId="0" applyBorder="1" applyFont="1"/>
    <xf borderId="53" fillId="0" fontId="5" numFmtId="0" xfId="0" applyBorder="1" applyFont="1"/>
    <xf borderId="54" fillId="0" fontId="5" numFmtId="0" xfId="0" applyBorder="1" applyFont="1"/>
    <xf borderId="55" fillId="0" fontId="5" numFmtId="0" xfId="0" applyBorder="1" applyFont="1"/>
    <xf borderId="56" fillId="0" fontId="5" numFmtId="0" xfId="0" applyBorder="1" applyFont="1"/>
    <xf borderId="57" fillId="0" fontId="5" numFmtId="0" xfId="0" applyBorder="1" applyFont="1"/>
    <xf borderId="58" fillId="0" fontId="5" numFmtId="0" xfId="0" applyBorder="1" applyFont="1"/>
    <xf borderId="59" fillId="3" fontId="11" numFmtId="0" xfId="0" applyAlignment="1" applyBorder="1" applyFill="1" applyFont="1">
      <alignment horizontal="center" readingOrder="0" vertical="center"/>
    </xf>
    <xf borderId="60" fillId="3" fontId="11" numFmtId="0" xfId="0" applyAlignment="1" applyBorder="1" applyFill="1" applyFont="1">
      <alignment horizontal="left" readingOrder="0" vertical="center"/>
    </xf>
    <xf borderId="61" fillId="0" fontId="5" numFmtId="0" xfId="0" applyBorder="1" applyFont="1"/>
    <xf borderId="62" fillId="3" fontId="11" numFmtId="0" xfId="0" applyAlignment="1" applyBorder="1" applyFill="1" applyFont="1">
      <alignment horizontal="center" readingOrder="0" vertical="center"/>
    </xf>
    <xf borderId="63" fillId="10" fontId="17" numFmtId="0" xfId="0" applyAlignment="1" applyBorder="1" applyFill="1" applyFont="1">
      <alignment horizontal="center" readingOrder="0" vertical="center"/>
    </xf>
    <xf borderId="64" fillId="0" fontId="5" numFmtId="0" xfId="0" applyBorder="1" applyFont="1"/>
    <xf borderId="65" fillId="0" fontId="5" numFmtId="0" xfId="0" applyBorder="1" applyFont="1"/>
    <xf borderId="66" fillId="11" fontId="18" numFmtId="0" xfId="0" applyAlignment="1" applyBorder="1" applyFill="1" applyFont="1">
      <alignment horizontal="center" readingOrder="0" vertical="center"/>
    </xf>
    <xf borderId="67" fillId="0" fontId="5" numFmtId="0" xfId="0" applyBorder="1" applyFont="1"/>
    <xf borderId="68" fillId="0" fontId="5" numFmtId="0" xfId="0" applyBorder="1" applyFont="1"/>
    <xf borderId="69" fillId="12" fontId="19" numFmtId="0" xfId="0" applyAlignment="1" applyBorder="1" applyFill="1" applyFont="1">
      <alignment horizontal="center" readingOrder="0" vertical="center"/>
    </xf>
    <xf borderId="70" fillId="0" fontId="5" numFmtId="0" xfId="0" applyBorder="1" applyFont="1"/>
    <xf borderId="71" fillId="0" fontId="5" numFmtId="0" xfId="0" applyBorder="1" applyFont="1"/>
    <xf borderId="72" fillId="13" fontId="20" numFmtId="0" xfId="0" applyAlignment="1" applyBorder="1" applyFill="1" applyFont="1">
      <alignment horizontal="center" readingOrder="0" vertical="center"/>
    </xf>
    <xf borderId="73" fillId="0" fontId="5" numFmtId="0" xfId="0" applyBorder="1" applyFont="1"/>
    <xf borderId="74" fillId="0" fontId="5" numFmtId="0" xfId="0" applyBorder="1" applyFont="1"/>
    <xf borderId="75" fillId="4" fontId="21" numFmtId="0" xfId="0" applyAlignment="1" applyBorder="1" applyFill="1" applyFont="1">
      <alignment horizontal="center" readingOrder="0" vertical="center"/>
    </xf>
    <xf borderId="76" fillId="0" fontId="5" numFmtId="0" xfId="0" applyBorder="1" applyFont="1"/>
    <xf borderId="77" fillId="0" fontId="5" numFmtId="0" xfId="0" applyBorder="1" applyFont="1"/>
    <xf borderId="0" fillId="3" fontId="22" numFmtId="0" xfId="0" applyAlignment="1" applyFill="1" applyFont="1">
      <alignment horizontal="center" readingOrder="0" vertical="center"/>
    </xf>
    <xf borderId="0" fillId="3" fontId="22" numFmtId="0" xfId="0" applyAlignment="1" applyFill="1" applyFont="1">
      <alignment horizontal="left" vertical="center"/>
    </xf>
    <xf borderId="0" fillId="3" fontId="23" numFmtId="0" xfId="0" applyAlignment="1" applyFill="1" applyFont="1">
      <alignment horizontal="center" readingOrder="0" vertical="center"/>
    </xf>
    <xf borderId="0" fillId="3" fontId="23" numFmtId="0" xfId="0" applyAlignment="1" applyFill="1" applyFont="1">
      <alignment horizontal="left" vertical="center"/>
    </xf>
    <xf borderId="0" fillId="3" fontId="24" numFmtId="0" xfId="0" applyAlignment="1" applyFill="1" applyFont="1">
      <alignment horizontal="center" readingOrder="0" vertical="center"/>
    </xf>
    <xf borderId="0" fillId="3" fontId="24" numFmtId="0" xfId="0" applyAlignment="1" applyFill="1" applyFont="1">
      <alignment horizontal="left" vertical="center"/>
    </xf>
    <xf borderId="0" fillId="3" fontId="25" numFmtId="0" xfId="0" applyAlignment="1" applyFill="1" applyFont="1">
      <alignment horizontal="center" readingOrder="0" vertical="center"/>
    </xf>
    <xf borderId="0" fillId="3" fontId="26" numFmtId="164" xfId="0" applyAlignment="1" applyFill="1" applyFont="1" applyNumberFormat="1">
      <alignment horizontal="center" vertical="center"/>
    </xf>
    <xf borderId="0" fillId="3" fontId="26" numFmtId="165" xfId="0" applyAlignment="1" applyFill="1" applyFont="1" applyNumberFormat="1">
      <alignment horizontal="center" vertical="center"/>
    </xf>
    <xf borderId="0" fillId="3" fontId="26" numFmtId="1" xfId="0" applyAlignment="1" applyFill="1" applyFont="1" applyNumberFormat="1">
      <alignment horizontal="center" vertical="center"/>
    </xf>
    <xf borderId="0" fillId="0" fontId="2" numFmtId="0" xfId="0" applyAlignment="1" applyFont="1">
      <alignment vertical="center"/>
    </xf>
    <xf borderId="0" fillId="14" fontId="27" numFmtId="0" xfId="0" applyFill="1" applyFont="1"/>
    <xf borderId="0" fillId="15" fontId="28" numFmtId="0" xfId="0" applyAlignment="1" applyFill="1" applyFont="1">
      <alignment horizontal="center" readingOrder="0" vertical="center"/>
    </xf>
    <xf borderId="0" fillId="14" fontId="27" numFmtId="0" xfId="0" applyAlignment="1" applyFill="1" applyFont="1">
      <alignment readingOrder="0"/>
    </xf>
    <xf borderId="0" fillId="15" fontId="29" numFmtId="0" xfId="0" applyAlignment="1" applyFill="1" applyFont="1">
      <alignment horizontal="center" readingOrder="0" vertical="center"/>
    </xf>
    <xf borderId="78" fillId="9" fontId="10" numFmtId="0" xfId="0" applyAlignment="1" applyBorder="1" applyFill="1" applyFont="1">
      <alignment horizontal="center" readingOrder="0" vertical="center"/>
    </xf>
    <xf borderId="79" fillId="0" fontId="5" numFmtId="0" xfId="0" applyBorder="1" applyFont="1"/>
    <xf borderId="80" fillId="5" fontId="6" numFmtId="0" xfId="0" applyAlignment="1" applyBorder="1" applyFill="1" applyFont="1">
      <alignment horizontal="center" readingOrder="0" vertical="center"/>
    </xf>
    <xf borderId="81" fillId="0" fontId="5" numFmtId="0" xfId="0" applyBorder="1" applyFont="1"/>
    <xf borderId="82" fillId="7" fontId="8" numFmtId="0" xfId="0" applyAlignment="1" applyBorder="1" applyFill="1" applyFont="1">
      <alignment horizontal="center" readingOrder="0" vertical="center"/>
    </xf>
    <xf borderId="83" fillId="0" fontId="5" numFmtId="0" xfId="0" applyBorder="1" applyFont="1"/>
    <xf borderId="84" fillId="8" fontId="9" numFmtId="0" xfId="0" applyAlignment="1" applyBorder="1" applyFill="1" applyFont="1">
      <alignment horizontal="center" readingOrder="0" vertical="center"/>
    </xf>
    <xf borderId="85" fillId="0" fontId="5" numFmtId="0" xfId="0" applyBorder="1" applyFont="1"/>
    <xf borderId="86" fillId="6" fontId="7" numFmtId="0" xfId="0" applyAlignment="1" applyBorder="1" applyFill="1" applyFont="1">
      <alignment horizontal="center" readingOrder="0" vertical="center"/>
    </xf>
    <xf borderId="87" fillId="0" fontId="5" numFmtId="0" xfId="0" applyBorder="1" applyFont="1"/>
    <xf borderId="88" fillId="16" fontId="30" numFmtId="0" xfId="0" applyAlignment="1" applyBorder="1" applyFill="1" applyFont="1">
      <alignment horizontal="center" readingOrder="0" vertical="center"/>
    </xf>
    <xf borderId="89" fillId="0" fontId="5" numFmtId="0" xfId="0" applyBorder="1" applyFont="1"/>
    <xf borderId="90" fillId="0" fontId="5" numFmtId="0" xfId="0" applyBorder="1" applyFont="1"/>
    <xf borderId="91" fillId="4" fontId="31" numFmtId="1" xfId="0" applyAlignment="1" applyBorder="1" applyFill="1" applyFont="1" applyNumberFormat="1">
      <alignment horizontal="center" vertical="center"/>
    </xf>
    <xf borderId="92" fillId="0" fontId="5" numFmtId="0" xfId="0" applyBorder="1" applyFont="1"/>
    <xf borderId="93" fillId="10" fontId="12" numFmtId="164" xfId="0" applyAlignment="1" applyBorder="1" applyFill="1" applyFont="1" applyNumberFormat="1">
      <alignment horizontal="center" vertical="center"/>
    </xf>
    <xf borderId="94" fillId="0" fontId="5" numFmtId="0" xfId="0" applyBorder="1" applyFont="1"/>
    <xf borderId="95" fillId="12" fontId="14" numFmtId="1" xfId="0" applyAlignment="1" applyBorder="1" applyFill="1" applyFont="1" applyNumberFormat="1">
      <alignment horizontal="center" vertical="center"/>
    </xf>
    <xf borderId="96" fillId="0" fontId="5" numFmtId="0" xfId="0" applyBorder="1" applyFont="1"/>
    <xf borderId="97" fillId="13" fontId="15" numFmtId="1" xfId="0" applyAlignment="1" applyBorder="1" applyFill="1" applyFont="1" applyNumberFormat="1">
      <alignment horizontal="center" vertical="center"/>
    </xf>
    <xf borderId="98" fillId="0" fontId="5" numFmtId="0" xfId="0" applyBorder="1" applyFont="1"/>
    <xf borderId="99" fillId="11" fontId="13" numFmtId="165" xfId="0" applyAlignment="1" applyBorder="1" applyFill="1" applyFont="1" applyNumberFormat="1">
      <alignment horizontal="center" vertical="center"/>
    </xf>
    <xf borderId="100" fillId="0" fontId="5" numFmtId="0" xfId="0" applyBorder="1" applyFont="1"/>
    <xf borderId="101" fillId="17" fontId="32" numFmtId="3" xfId="0" applyAlignment="1" applyBorder="1" applyFill="1" applyFont="1" applyNumberFormat="1">
      <alignment horizontal="center" vertical="center"/>
    </xf>
    <xf borderId="102" fillId="0" fontId="5" numFmtId="0" xfId="0" applyBorder="1" applyFont="1"/>
    <xf borderId="103" fillId="4" fontId="21" numFmtId="0" xfId="0" applyAlignment="1" applyBorder="1" applyFill="1" applyFont="1">
      <alignment horizontal="center" readingOrder="0" vertical="center"/>
    </xf>
    <xf borderId="104" fillId="0" fontId="5" numFmtId="0" xfId="0" applyBorder="1" applyFont="1"/>
    <xf borderId="105" fillId="10" fontId="17" numFmtId="0" xfId="0" applyAlignment="1" applyBorder="1" applyFill="1" applyFont="1">
      <alignment horizontal="center" readingOrder="0" vertical="center"/>
    </xf>
    <xf borderId="106" fillId="0" fontId="5" numFmtId="0" xfId="0" applyBorder="1" applyFont="1"/>
    <xf borderId="107" fillId="12" fontId="19" numFmtId="0" xfId="0" applyAlignment="1" applyBorder="1" applyFill="1" applyFont="1">
      <alignment horizontal="center" readingOrder="0" vertical="center"/>
    </xf>
    <xf borderId="108" fillId="0" fontId="5" numFmtId="0" xfId="0" applyBorder="1" applyFont="1"/>
    <xf borderId="109" fillId="13" fontId="20" numFmtId="0" xfId="0" applyAlignment="1" applyBorder="1" applyFill="1" applyFont="1">
      <alignment horizontal="center" readingOrder="0" vertical="center"/>
    </xf>
    <xf borderId="110" fillId="0" fontId="5" numFmtId="0" xfId="0" applyBorder="1" applyFont="1"/>
    <xf borderId="111" fillId="11" fontId="18" numFmtId="0" xfId="0" applyAlignment="1" applyBorder="1" applyFill="1" applyFont="1">
      <alignment horizontal="center" readingOrder="0" vertical="center"/>
    </xf>
    <xf borderId="112" fillId="0" fontId="5" numFmtId="0" xfId="0" applyBorder="1" applyFont="1"/>
    <xf borderId="113" fillId="17" fontId="33" numFmtId="0" xfId="0" applyAlignment="1" applyBorder="1" applyFill="1" applyFont="1">
      <alignment horizontal="center" readingOrder="0" vertical="center"/>
    </xf>
    <xf borderId="114" fillId="0" fontId="5" numFmtId="0" xfId="0" applyBorder="1" applyFont="1"/>
    <xf borderId="115" fillId="0" fontId="5" numFmtId="0" xfId="0" applyBorder="1" applyFont="1"/>
    <xf borderId="116" fillId="2" fontId="1" numFmtId="0" xfId="0" applyAlignment="1" applyBorder="1" applyFill="1" applyFont="1">
      <alignment horizontal="center" readingOrder="0" vertical="center"/>
    </xf>
    <xf borderId="117" fillId="0" fontId="5" numFmtId="0" xfId="0" applyBorder="1" applyFont="1"/>
    <xf borderId="118" fillId="0" fontId="5" numFmtId="0" xfId="0" applyBorder="1" applyFont="1"/>
    <xf borderId="119" fillId="2" fontId="1" numFmtId="0" xfId="0" applyAlignment="1" applyBorder="1" applyFill="1" applyFont="1">
      <alignment horizontal="center" readingOrder="0" vertical="center"/>
    </xf>
    <xf borderId="120" fillId="0" fontId="5" numFmtId="0" xfId="0" applyBorder="1" applyFont="1"/>
    <xf borderId="121" fillId="0" fontId="5" numFmtId="0" xfId="0" applyBorder="1" applyFont="1"/>
    <xf borderId="122" fillId="18" fontId="34" numFmtId="0" xfId="0" applyAlignment="1" applyBorder="1" applyFill="1" applyFont="1">
      <alignment readingOrder="0" vertical="center"/>
    </xf>
    <xf borderId="123" fillId="5" fontId="35" numFmtId="0" xfId="0" applyAlignment="1" applyBorder="1" applyFill="1" applyFont="1">
      <alignment horizontal="center" readingOrder="0" vertical="center"/>
    </xf>
    <xf borderId="123" fillId="0" fontId="5" numFmtId="0" xfId="0" applyBorder="1" applyFont="1"/>
    <xf borderId="123" fillId="18" fontId="34" numFmtId="0" xfId="0" applyAlignment="1" applyBorder="1" applyFill="1" applyFont="1">
      <alignment vertical="center"/>
    </xf>
    <xf borderId="124" fillId="18" fontId="34" numFmtId="0" xfId="0" applyAlignment="1" applyBorder="1" applyFill="1" applyFont="1">
      <alignment vertical="center"/>
    </xf>
    <xf borderId="125" fillId="5" fontId="36" numFmtId="0" xfId="0" applyAlignment="1" applyBorder="1" applyFill="1" applyFont="1">
      <alignment horizontal="center" readingOrder="0" vertical="center"/>
    </xf>
    <xf borderId="126" fillId="0" fontId="5" numFmtId="0" xfId="0" applyBorder="1" applyFont="1"/>
    <xf borderId="126" fillId="4" fontId="37" numFmtId="0" xfId="0" applyAlignment="1" applyBorder="1" applyFill="1" applyFont="1">
      <alignment horizontal="right" vertical="center"/>
    </xf>
    <xf borderId="127" fillId="0" fontId="5" numFmtId="0" xfId="0" applyBorder="1" applyFont="1"/>
    <xf borderId="122" fillId="18" fontId="38" numFmtId="0" xfId="0" applyAlignment="1" applyBorder="1" applyFill="1" applyFont="1">
      <alignment horizontal="left" readingOrder="0" vertical="center"/>
    </xf>
    <xf borderId="123" fillId="18" fontId="39" numFmtId="0" xfId="0" applyAlignment="1" applyBorder="1" applyFill="1" applyFont="1">
      <alignment horizontal="left" vertical="center"/>
    </xf>
    <xf borderId="124" fillId="0" fontId="5" numFmtId="0" xfId="0" applyBorder="1" applyFont="1"/>
    <xf borderId="128" fillId="14" fontId="27" numFmtId="0" xfId="0" applyBorder="1" applyFill="1" applyFont="1"/>
    <xf borderId="129" fillId="14" fontId="27" numFmtId="0" xfId="0" applyBorder="1" applyFill="1" applyFont="1"/>
    <xf borderId="130" fillId="2" fontId="4" numFmtId="0" xfId="0" applyAlignment="1" applyBorder="1" applyFill="1" applyFont="1">
      <alignment horizontal="left" readingOrder="0" vertical="center"/>
    </xf>
    <xf borderId="131" fillId="2" fontId="4" numFmtId="0" xfId="0" applyAlignment="1" applyBorder="1" applyFill="1" applyFont="1">
      <alignment horizontal="center" readingOrder="0" vertical="center"/>
    </xf>
    <xf borderId="132" fillId="2" fontId="4" numFmtId="0" xfId="0" applyAlignment="1" applyBorder="1" applyFill="1" applyFont="1">
      <alignment horizontal="center" readingOrder="0" vertical="center"/>
    </xf>
    <xf borderId="133" fillId="18" fontId="38" numFmtId="0" xfId="0" applyAlignment="1" applyBorder="1" applyFill="1" applyFont="1">
      <alignment horizontal="left" readingOrder="0" vertical="center"/>
    </xf>
    <xf borderId="134" fillId="0" fontId="5" numFmtId="0" xfId="0" applyBorder="1" applyFont="1"/>
    <xf borderId="134" fillId="18" fontId="39" numFmtId="0" xfId="0" applyAlignment="1" applyBorder="1" applyFill="1" applyFont="1">
      <alignment horizontal="left" vertical="center"/>
    </xf>
    <xf borderId="134" fillId="18" fontId="40" numFmtId="0" xfId="0" applyAlignment="1" applyBorder="1" applyFill="1" applyFont="1">
      <alignment horizontal="right" readingOrder="0" vertical="center"/>
    </xf>
    <xf borderId="135" fillId="18" fontId="41" numFmtId="164" xfId="0" applyAlignment="1" applyBorder="1" applyFill="1" applyFont="1" applyNumberFormat="1">
      <alignment horizontal="left" vertical="center"/>
    </xf>
    <xf borderId="136" fillId="3" fontId="42" numFmtId="0" xfId="0" applyAlignment="1" applyBorder="1" applyFill="1" applyFont="1">
      <alignment horizontal="left" vertical="center"/>
    </xf>
    <xf borderId="137" fillId="3" fontId="42" numFmtId="0" xfId="0" applyAlignment="1" applyBorder="1" applyFill="1" applyFont="1">
      <alignment horizontal="center" vertical="center"/>
    </xf>
    <xf borderId="137" fillId="3" fontId="43" numFmtId="3" xfId="0" applyAlignment="1" applyBorder="1" applyFill="1" applyFont="1" applyNumberFormat="1">
      <alignment horizontal="center" vertical="center"/>
    </xf>
    <xf borderId="137" fillId="3" fontId="42" numFmtId="164" xfId="0" applyAlignment="1" applyBorder="1" applyFill="1" applyFont="1" applyNumberFormat="1">
      <alignment horizontal="right" vertical="center"/>
    </xf>
    <xf borderId="137" fillId="3" fontId="42" numFmtId="3" xfId="0" applyAlignment="1" applyBorder="1" applyFill="1" applyFont="1" applyNumberFormat="1">
      <alignment horizontal="center" vertical="center"/>
    </xf>
    <xf borderId="138" fillId="3" fontId="42" numFmtId="0" xfId="0" applyAlignment="1" applyBorder="1" applyFill="1" applyFont="1">
      <alignment horizontal="left" vertical="center"/>
    </xf>
    <xf borderId="29" fillId="7" fontId="8" numFmtId="0" xfId="0" applyAlignment="1" applyBorder="1" applyFill="1" applyFont="1">
      <alignment horizontal="center" readingOrder="0" vertical="center"/>
    </xf>
    <xf borderId="139" fillId="16" fontId="30" numFmtId="0" xfId="0" applyAlignment="1" applyBorder="1" applyFill="1" applyFont="1">
      <alignment horizontal="center" readingOrder="0" vertical="center"/>
    </xf>
    <xf borderId="139" fillId="5" fontId="44" numFmtId="0" xfId="0" applyAlignment="1" applyBorder="1" applyFill="1" applyFont="1">
      <alignment horizontal="center" readingOrder="0" vertical="center"/>
    </xf>
    <xf borderId="139" fillId="8" fontId="9" numFmtId="0" xfId="0" applyAlignment="1" applyBorder="1" applyFill="1" applyFont="1">
      <alignment horizontal="center" readingOrder="0" vertical="center"/>
    </xf>
    <xf borderId="30" fillId="19" fontId="45" numFmtId="0" xfId="0" applyAlignment="1" applyBorder="1" applyFill="1" applyFont="1">
      <alignment horizontal="center" readingOrder="0" vertical="center"/>
    </xf>
    <xf borderId="29" fillId="18" fontId="46" numFmtId="0" xfId="0" applyAlignment="1" applyBorder="1" applyFill="1" applyFont="1">
      <alignment horizontal="center" vertical="center"/>
    </xf>
    <xf borderId="139" fillId="18" fontId="46" numFmtId="0" xfId="0" applyAlignment="1" applyBorder="1" applyFill="1" applyFont="1">
      <alignment horizontal="center" vertical="center"/>
    </xf>
    <xf borderId="30" fillId="18" fontId="46" numFmtId="0" xfId="0" applyAlignment="1" applyBorder="1" applyFill="1" applyFont="1">
      <alignment horizontal="center" vertical="center"/>
    </xf>
    <xf borderId="29" fillId="18" fontId="47" numFmtId="0" xfId="0" applyAlignment="1" applyBorder="1" applyFill="1" applyFont="1">
      <alignment horizontal="right" readingOrder="0" vertical="center"/>
    </xf>
    <xf borderId="30" fillId="18" fontId="27" numFmtId="0" xfId="0" applyAlignment="1" applyBorder="1" applyFill="1" applyFont="1">
      <alignment vertical="center"/>
    </xf>
    <xf borderId="59" fillId="18" fontId="47" numFmtId="0" xfId="0" applyAlignment="1" applyBorder="1" applyFill="1" applyFont="1">
      <alignment horizontal="right" readingOrder="0" vertical="center"/>
    </xf>
    <xf borderId="60" fillId="18" fontId="27" numFmtId="0" xfId="0" applyAlignment="1" applyBorder="1" applyFill="1" applyFont="1">
      <alignment vertical="center"/>
    </xf>
    <xf borderId="135" fillId="0" fontId="5" numFmtId="0" xfId="0" applyBorder="1" applyFont="1"/>
    <xf borderId="122" fillId="18" fontId="48" numFmtId="0" xfId="0" applyAlignment="1" applyBorder="1" applyFill="1" applyFont="1">
      <alignment horizontal="left" readingOrder="0" vertical="center"/>
    </xf>
    <xf borderId="139" fillId="18" fontId="49" numFmtId="0" xfId="0" applyAlignment="1" applyBorder="1" applyFill="1" applyFont="1">
      <alignment horizontal="left" vertical="center"/>
    </xf>
    <xf borderId="30" fillId="18" fontId="48" numFmtId="0" xfId="0" applyAlignment="1" applyBorder="1" applyFill="1" applyFont="1">
      <alignment horizontal="left" readingOrder="0" vertical="center"/>
    </xf>
    <xf borderId="32" fillId="18" fontId="49" numFmtId="165" xfId="0" applyAlignment="1" applyBorder="1" applyFill="1" applyFont="1" applyNumberFormat="1">
      <alignment horizontal="left" vertical="center"/>
    </xf>
    <xf borderId="29" fillId="9" fontId="50" numFmtId="0" xfId="0" applyAlignment="1" applyBorder="1" applyFill="1" applyFont="1">
      <alignment horizontal="center" readingOrder="0" vertical="center"/>
    </xf>
    <xf borderId="139" fillId="9" fontId="50" numFmtId="0" xfId="0" applyAlignment="1" applyBorder="1" applyFill="1" applyFont="1">
      <alignment horizontal="center" readingOrder="0" vertical="center"/>
    </xf>
    <xf borderId="30" fillId="9" fontId="50" numFmtId="0" xfId="0" applyAlignment="1" applyBorder="1" applyFill="1" applyFont="1">
      <alignment horizontal="center" readingOrder="0" vertical="center"/>
    </xf>
    <xf borderId="29" fillId="18" fontId="51" numFmtId="0" xfId="0" applyAlignment="1" applyBorder="1" applyFill="1" applyFont="1">
      <alignment horizontal="center" vertical="center"/>
    </xf>
    <xf borderId="139" fillId="18" fontId="51" numFmtId="0" xfId="0" applyAlignment="1" applyBorder="1" applyFill="1" applyFont="1">
      <alignment horizontal="center" vertical="center"/>
    </xf>
    <xf borderId="30" fillId="18" fontId="51" numFmtId="0" xfId="0" applyAlignment="1" applyBorder="1" applyFill="1" applyFont="1">
      <alignment horizontal="center" vertical="center"/>
    </xf>
    <xf borderId="59" fillId="18" fontId="52" numFmtId="0" xfId="0" applyAlignment="1" applyBorder="1" applyFill="1" applyFont="1">
      <alignment horizontal="left" readingOrder="0" vertical="center"/>
    </xf>
    <xf borderId="122" fillId="18" fontId="52" numFmtId="0" xfId="0" applyAlignment="1" applyBorder="1" applyFill="1" applyFont="1">
      <alignment horizontal="left" readingOrder="0" vertical="center"/>
    </xf>
    <xf borderId="123" fillId="18" fontId="51" numFmtId="0" xfId="0" applyAlignment="1" applyBorder="1" applyFill="1" applyFont="1">
      <alignment horizontal="left" readingOrder="0" vertical="center"/>
    </xf>
    <xf borderId="123" fillId="18" fontId="52" numFmtId="0" xfId="0" applyAlignment="1" applyBorder="1" applyFill="1" applyFont="1">
      <alignment horizontal="left" readingOrder="0" vertical="center"/>
    </xf>
    <xf borderId="124" fillId="18" fontId="51" numFmtId="0" xfId="0" applyAlignment="1" applyBorder="1" applyFill="1" applyFont="1">
      <alignment horizontal="left" vertical="center"/>
    </xf>
    <xf borderId="123" fillId="18" fontId="53" numFmtId="164" xfId="0" applyAlignment="1" applyBorder="1" applyFill="1" applyFont="1" applyNumberFormat="1">
      <alignment horizontal="left" vertical="center"/>
    </xf>
    <xf borderId="124" fillId="18" fontId="54" numFmtId="0" xfId="0" applyAlignment="1" applyBorder="1" applyFill="1" applyFont="1">
      <alignment horizontal="left" vertical="center"/>
    </xf>
    <xf borderId="123" fillId="18" fontId="27" numFmtId="0" xfId="0" applyAlignment="1" applyBorder="1" applyFill="1" applyFont="1">
      <alignment vertical="center"/>
    </xf>
    <xf borderId="133" fillId="7" fontId="8" numFmtId="0" xfId="0" applyAlignment="1" applyBorder="1" applyFill="1" applyFont="1">
      <alignment horizontal="center" vertical="center"/>
    </xf>
    <xf borderId="122" fillId="7" fontId="8" numFmtId="0" xfId="0" applyAlignment="1" applyBorder="1" applyFill="1" applyFont="1">
      <alignment horizontal="left" readingOrder="0" vertical="center"/>
    </xf>
    <xf borderId="122" fillId="7" fontId="55" numFmtId="0" xfId="0" applyAlignment="1" applyBorder="1" applyFill="1" applyFont="1">
      <alignment horizontal="left" readingOrder="0" vertical="center"/>
    </xf>
    <xf borderId="122" fillId="5" fontId="56" numFmtId="0" xfId="0" applyAlignment="1" applyBorder="1" applyFill="1" applyFont="1">
      <alignment horizontal="left" readingOrder="0" vertical="center"/>
    </xf>
    <xf borderId="122" fillId="5" fontId="57" numFmtId="0" xfId="0" applyAlignment="1" applyBorder="1" applyFill="1" applyFont="1">
      <alignment horizontal="left" readingOrder="0" vertical="center"/>
    </xf>
    <xf borderId="122" fillId="16" fontId="30" numFmtId="0" xfId="0" applyAlignment="1" applyBorder="1" applyFill="1" applyFont="1">
      <alignment horizontal="left" readingOrder="0" vertical="center"/>
    </xf>
    <xf borderId="136" fillId="14" fontId="42" numFmtId="0" xfId="0" applyAlignment="1" applyBorder="1" applyFill="1" applyFont="1">
      <alignment horizontal="left" vertical="center"/>
    </xf>
    <xf borderId="137" fillId="14" fontId="42" numFmtId="0" xfId="0" applyAlignment="1" applyBorder="1" applyFill="1" applyFont="1">
      <alignment horizontal="center" vertical="center"/>
    </xf>
    <xf borderId="137" fillId="14" fontId="43" numFmtId="3" xfId="0" applyAlignment="1" applyBorder="1" applyFill="1" applyFont="1" applyNumberFormat="1">
      <alignment horizontal="center" vertical="center"/>
    </xf>
    <xf borderId="137" fillId="14" fontId="42" numFmtId="164" xfId="0" applyAlignment="1" applyBorder="1" applyFill="1" applyFont="1" applyNumberFormat="1">
      <alignment horizontal="right" vertical="center"/>
    </xf>
    <xf borderId="137" fillId="14" fontId="42" numFmtId="3" xfId="0" applyAlignment="1" applyBorder="1" applyFill="1" applyFont="1" applyNumberFormat="1">
      <alignment horizontal="center" vertical="center"/>
    </xf>
    <xf borderId="138" fillId="14" fontId="42" numFmtId="0" xfId="0" applyAlignment="1" applyBorder="1" applyFill="1" applyFont="1">
      <alignment horizontal="left" vertical="center"/>
    </xf>
    <xf borderId="122" fillId="16" fontId="58" numFmtId="0" xfId="0" applyAlignment="1" applyBorder="1" applyFill="1" applyFont="1">
      <alignment horizontal="left" readingOrder="0" vertical="center"/>
    </xf>
    <xf borderId="133" fillId="4" fontId="59" numFmtId="0" xfId="0" applyAlignment="1" applyBorder="1" applyFill="1" applyFont="1">
      <alignment horizontal="left" readingOrder="0" vertical="center"/>
    </xf>
    <xf borderId="128" fillId="3" fontId="60" numFmtId="0" xfId="0" applyAlignment="1" applyBorder="1" applyFill="1" applyFont="1">
      <alignment readingOrder="0" vertical="center"/>
    </xf>
    <xf borderId="129" fillId="0" fontId="5" numFmtId="0" xfId="0" applyBorder="1" applyFont="1"/>
    <xf borderId="128" fillId="3" fontId="61" numFmtId="0" xfId="0" applyAlignment="1" applyBorder="1" applyFill="1" applyFont="1">
      <alignment readingOrder="0" vertical="center"/>
    </xf>
    <xf borderId="128" fillId="3" fontId="62" numFmtId="0" xfId="0" applyAlignment="1" applyBorder="1" applyFill="1" applyFont="1">
      <alignment readingOrder="0" vertical="center"/>
    </xf>
    <xf borderId="128" fillId="3" fontId="63" numFmtId="0" xfId="0" applyAlignment="1" applyBorder="1" applyFill="1" applyFont="1">
      <alignment readingOrder="0" vertical="center"/>
    </xf>
    <xf borderId="128" fillId="20" fontId="64" numFmtId="0" xfId="0" applyAlignment="1" applyBorder="1" applyFill="1" applyFont="1">
      <alignment horizontal="center" readingOrder="0" shrinkToFit="0" vertical="center" wrapText="1"/>
    </xf>
    <xf borderId="140" fillId="0" fontId="5" numFmtId="0" xfId="0" applyBorder="1" applyFont="1"/>
    <xf borderId="141" fillId="0" fontId="5" numFmtId="0" xfId="0" applyBorder="1" applyFont="1"/>
    <xf borderId="142" fillId="0" fontId="5" numFmtId="0" xfId="0" applyBorder="1" applyFont="1"/>
    <xf borderId="143" fillId="14" fontId="42" numFmtId="0" xfId="0" applyAlignment="1" applyBorder="1" applyFill="1" applyFont="1">
      <alignment horizontal="left" vertical="center"/>
    </xf>
    <xf borderId="144" fillId="14" fontId="42" numFmtId="0" xfId="0" applyAlignment="1" applyBorder="1" applyFill="1" applyFont="1">
      <alignment horizontal="center" vertical="center"/>
    </xf>
    <xf borderId="144" fillId="14" fontId="43" numFmtId="3" xfId="0" applyAlignment="1" applyBorder="1" applyFill="1" applyFont="1" applyNumberFormat="1">
      <alignment horizontal="center" vertical="center"/>
    </xf>
    <xf borderId="144" fillId="14" fontId="42" numFmtId="164" xfId="0" applyAlignment="1" applyBorder="1" applyFill="1" applyFont="1" applyNumberFormat="1">
      <alignment horizontal="right" vertical="center"/>
    </xf>
    <xf borderId="144" fillId="14" fontId="42" numFmtId="3" xfId="0" applyAlignment="1" applyBorder="1" applyFill="1" applyFont="1" applyNumberFormat="1">
      <alignment horizontal="center" vertical="center"/>
    </xf>
    <xf borderId="145" fillId="14" fontId="42" numFmtId="0" xfId="0" applyAlignment="1" applyBorder="1" applyFill="1" applyFont="1">
      <alignment horizontal="left" vertical="center"/>
    </xf>
    <xf borderId="146" fillId="14" fontId="42" numFmtId="0" xfId="0" applyAlignment="1" applyBorder="1" applyFill="1" applyFont="1">
      <alignment horizontal="left" vertical="center"/>
    </xf>
    <xf borderId="147" fillId="14" fontId="42" numFmtId="0" xfId="0" applyAlignment="1" applyBorder="1" applyFill="1" applyFont="1">
      <alignment horizontal="left" vertical="center"/>
    </xf>
    <xf borderId="147" fillId="14" fontId="43" numFmtId="3" xfId="0" applyAlignment="1" applyBorder="1" applyFill="1" applyFont="1" applyNumberFormat="1">
      <alignment horizontal="center" vertical="center"/>
    </xf>
    <xf borderId="147" fillId="14" fontId="42" numFmtId="164" xfId="0" applyAlignment="1" applyBorder="1" applyFill="1" applyFont="1" applyNumberFormat="1">
      <alignment horizontal="center" vertical="center"/>
    </xf>
    <xf borderId="147" fillId="14" fontId="42" numFmtId="3" xfId="0" applyAlignment="1" applyBorder="1" applyFill="1" applyFont="1" applyNumberFormat="1">
      <alignment horizontal="center" vertical="center"/>
    </xf>
    <xf borderId="148" fillId="14" fontId="42" numFmtId="0" xfId="0" applyAlignment="1" applyBorder="1" applyFill="1" applyFont="1">
      <alignment horizontal="center" vertical="center"/>
    </xf>
    <xf borderId="149" fillId="2" fontId="1" numFmtId="0" xfId="0" applyAlignment="1" applyBorder="1" applyFill="1" applyFont="1">
      <alignment horizontal="center" readingOrder="0" vertical="center"/>
    </xf>
    <xf borderId="80" fillId="5" fontId="65" numFmtId="0" xfId="0" applyAlignment="1" applyBorder="1" applyFill="1" applyFont="1">
      <alignment horizontal="center" readingOrder="0" vertical="center"/>
    </xf>
    <xf borderId="150" fillId="0" fontId="5" numFmtId="0" xfId="0" applyBorder="1" applyFont="1"/>
    <xf borderId="93" fillId="10" fontId="66" numFmtId="3" xfId="0" applyAlignment="1" applyBorder="1" applyFill="1" applyFont="1" applyNumberFormat="1">
      <alignment horizontal="center" vertical="center"/>
    </xf>
    <xf borderId="99" fillId="11" fontId="13" numFmtId="166" xfId="0" applyAlignment="1" applyBorder="1" applyFill="1" applyFont="1" applyNumberFormat="1">
      <alignment horizontal="center" vertical="center"/>
    </xf>
    <xf borderId="101" fillId="17" fontId="67" numFmtId="0" xfId="0" applyAlignment="1" applyBorder="1" applyFill="1" applyFont="1">
      <alignment horizontal="center" vertical="center"/>
    </xf>
    <xf borderId="102" fillId="0" fontId="68" numFmtId="0" xfId="0" applyBorder="1" applyFont="1"/>
    <xf borderId="151" fillId="0" fontId="5" numFmtId="0" xfId="0" applyBorder="1" applyFont="1"/>
    <xf borderId="93" fillId="10" fontId="17" numFmtId="0" xfId="0" applyAlignment="1" applyBorder="1" applyFill="1" applyFont="1">
      <alignment horizontal="center" readingOrder="0" vertical="center"/>
    </xf>
    <xf borderId="99" fillId="11" fontId="18" numFmtId="0" xfId="0" applyAlignment="1" applyBorder="1" applyFill="1" applyFont="1">
      <alignment horizontal="center" readingOrder="0" vertical="center"/>
    </xf>
    <xf borderId="101" fillId="17" fontId="33" numFmtId="0" xfId="0" applyAlignment="1" applyBorder="1" applyFill="1" applyFont="1">
      <alignment horizontal="center" readingOrder="0" vertical="center"/>
    </xf>
    <xf borderId="95" fillId="12" fontId="19" numFmtId="0" xfId="0" applyAlignment="1" applyBorder="1" applyFill="1" applyFont="1">
      <alignment horizontal="center" readingOrder="0" vertical="center"/>
    </xf>
    <xf borderId="130" fillId="2" fontId="1" numFmtId="0" xfId="0" applyAlignment="1" applyBorder="1" applyFill="1" applyFont="1">
      <alignment horizontal="left" readingOrder="0" vertical="center"/>
    </xf>
    <xf borderId="131" fillId="2" fontId="1" numFmtId="0" xfId="0" applyAlignment="1" applyBorder="1" applyFill="1" applyFont="1">
      <alignment horizontal="center" readingOrder="0" vertical="center"/>
    </xf>
    <xf borderId="132" fillId="2" fontId="1" numFmtId="0" xfId="0" applyAlignment="1" applyBorder="1" applyFill="1" applyFont="1">
      <alignment horizontal="center" readingOrder="0" vertical="center"/>
    </xf>
    <xf borderId="10" fillId="2" fontId="1" numFmtId="0" xfId="0" applyAlignment="1" applyBorder="1" applyFill="1" applyFont="1">
      <alignment horizontal="left" readingOrder="0" vertical="center"/>
    </xf>
    <xf borderId="13" fillId="2" fontId="1" numFmtId="0" xfId="0" applyAlignment="1" applyBorder="1" applyFill="1" applyFont="1">
      <alignment horizontal="center" readingOrder="0" vertical="center"/>
    </xf>
    <xf borderId="136" fillId="3" fontId="42" numFmtId="0" xfId="0" applyAlignment="1" applyBorder="1" applyFill="1" applyFont="1">
      <alignment horizontal="left" readingOrder="0" vertical="center"/>
    </xf>
    <xf borderId="137" fillId="3" fontId="42" numFmtId="3" xfId="0" applyAlignment="1" applyBorder="1" applyFill="1" applyFont="1" applyNumberFormat="1">
      <alignment horizontal="center" readingOrder="0" vertical="center"/>
    </xf>
    <xf borderId="137" fillId="3" fontId="42" numFmtId="166" xfId="0" applyAlignment="1" applyBorder="1" applyFill="1" applyFont="1" applyNumberFormat="1">
      <alignment horizontal="center" vertical="center"/>
    </xf>
    <xf borderId="138" fillId="3" fontId="42" numFmtId="165" xfId="0" applyAlignment="1" applyBorder="1" applyFill="1" applyFont="1" applyNumberFormat="1">
      <alignment horizontal="center" vertical="center"/>
    </xf>
    <xf borderId="29" fillId="3" fontId="42" numFmtId="0" xfId="0" applyAlignment="1" applyBorder="1" applyFill="1" applyFont="1">
      <alignment horizontal="left" readingOrder="0" vertical="center"/>
    </xf>
    <xf borderId="32" fillId="3" fontId="42" numFmtId="3" xfId="0" applyAlignment="1" applyBorder="1" applyFill="1" applyFont="1" applyNumberFormat="1">
      <alignment horizontal="center" vertical="center"/>
    </xf>
    <xf borderId="136" fillId="4" fontId="42" numFmtId="0" xfId="0" applyAlignment="1" applyBorder="1" applyFill="1" applyFont="1">
      <alignment horizontal="left" readingOrder="0" vertical="center"/>
    </xf>
    <xf borderId="137" fillId="4" fontId="42" numFmtId="3" xfId="0" applyAlignment="1" applyBorder="1" applyFill="1" applyFont="1" applyNumberFormat="1">
      <alignment horizontal="center" readingOrder="0" vertical="center"/>
    </xf>
    <xf borderId="137" fillId="4" fontId="43" numFmtId="3" xfId="0" applyAlignment="1" applyBorder="1" applyFill="1" applyFont="1" applyNumberFormat="1">
      <alignment horizontal="center" vertical="center"/>
    </xf>
    <xf borderId="137" fillId="4" fontId="42" numFmtId="166" xfId="0" applyAlignment="1" applyBorder="1" applyFill="1" applyFont="1" applyNumberFormat="1">
      <alignment horizontal="center" vertical="center"/>
    </xf>
    <xf borderId="138" fillId="4" fontId="42" numFmtId="165" xfId="0" applyAlignment="1" applyBorder="1" applyFill="1" applyFont="1" applyNumberFormat="1">
      <alignment horizontal="center" vertical="center"/>
    </xf>
    <xf borderId="59" fillId="3" fontId="42" numFmtId="0" xfId="0" applyAlignment="1" applyBorder="1" applyFill="1" applyFont="1">
      <alignment horizontal="left" readingOrder="0" vertical="center"/>
    </xf>
    <xf borderId="62" fillId="3" fontId="42" numFmtId="3" xfId="0" applyAlignment="1" applyBorder="1" applyFill="1" applyFont="1" applyNumberFormat="1">
      <alignment horizontal="center" vertical="center"/>
    </xf>
    <xf borderId="0" fillId="3" fontId="42" numFmtId="0" xfId="0" applyAlignment="1" applyFill="1" applyFont="1">
      <alignment horizontal="center" vertical="center"/>
    </xf>
    <xf borderId="0" fillId="3" fontId="42" numFmtId="0" xfId="0" applyAlignment="1" applyFill="1" applyFont="1">
      <alignment vertical="center"/>
    </xf>
    <xf borderId="152" fillId="9" fontId="69" numFmtId="0" xfId="0" applyAlignment="1" applyBorder="1" applyFill="1" applyFont="1">
      <alignment horizontal="left" readingOrder="0" vertical="center"/>
    </xf>
    <xf borderId="153" fillId="9" fontId="69" numFmtId="3" xfId="0" applyAlignment="1" applyBorder="1" applyFill="1" applyFont="1" applyNumberFormat="1">
      <alignment horizontal="center" vertical="center"/>
    </xf>
    <xf borderId="153" fillId="9" fontId="69" numFmtId="166" xfId="0" applyAlignment="1" applyBorder="1" applyFill="1" applyFont="1" applyNumberFormat="1">
      <alignment horizontal="center" vertical="center"/>
    </xf>
    <xf borderId="154" fillId="9" fontId="69" numFmtId="0" xfId="0" applyAlignment="1" applyBorder="1" applyFill="1" applyFont="1">
      <alignment horizontal="center" vertical="center"/>
    </xf>
    <xf borderId="0" fillId="21" fontId="70" numFmtId="0" xfId="0" applyAlignment="1" applyFill="1" applyFont="1">
      <alignment horizontal="center" readingOrder="0" vertical="center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F7F9FF"/>
          <bgColor rgb="FFF7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/>
        <color rgb="FF92400E"/>
      </font>
      <fill>
        <patternFill patternType="solid">
          <fgColor rgb="FFFDF3C6"/>
          <bgColor rgb="FFFDF3C6"/>
        </patternFill>
      </fill>
      <border/>
    </dxf>
    <dxf>
      <font>
        <b/>
        <color rgb="FF065F46"/>
      </font>
      <fill>
        <patternFill patternType="solid">
          <fgColor rgb="FFD1F9E4"/>
          <bgColor rgb="FFD1F9E4"/>
        </patternFill>
      </fill>
      <border/>
    </dxf>
    <dxf>
      <font>
        <b/>
        <color rgb="FF065885"/>
      </font>
      <fill>
        <patternFill patternType="solid">
          <fgColor rgb="FFDFF1FD"/>
          <bgColor rgb="FFDFF1FD"/>
        </patternFill>
      </fill>
      <border/>
    </dxf>
    <dxf>
      <font>
        <b/>
        <color rgb="FF991B1B"/>
      </font>
      <fill>
        <patternFill patternType="solid">
          <fgColor rgb="FFFDE1E1"/>
          <bgColor rgb="FFFDE1E1"/>
        </patternFill>
      </fill>
      <border/>
    </dxf>
    <dxf>
      <font>
        <b/>
        <color rgb="FF065F46"/>
      </font>
      <fill>
        <patternFill patternType="solid">
          <fgColor rgb="FFEBFCF5"/>
          <bgColor rgb="FFEBFCF5"/>
        </patternFill>
      </fill>
      <border/>
    </dxf>
    <dxf>
      <font>
        <b/>
        <color rgb="FF92400E"/>
      </font>
      <fill>
        <patternFill patternType="solid">
          <fgColor rgb="FFFFFAEB"/>
          <bgColor rgb="FFFFFAEB"/>
        </patternFill>
      </fill>
      <border/>
    </dxf>
    <dxf>
      <font>
        <b/>
        <color rgb="FF9F1239"/>
      </font>
      <fill>
        <patternFill patternType="solid">
          <fgColor rgb="FFFFF0F1"/>
          <bgColor rgb="FFFFF0F1"/>
        </patternFill>
      </fill>
      <border/>
    </dxf>
    <dxf>
      <font>
        <b/>
        <color rgb="FF465469"/>
      </font>
      <fill>
        <patternFill patternType="solid">
          <fgColor rgb="FFF8F9FB"/>
          <bgColor rgb="FFF8F9FB"/>
        </patternFill>
      </fill>
      <border/>
    </dxf>
  </dxfs>
  <tableStyles count="1">
    <tableStyle count="2" pivot="0" name="Feuille 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🏆 Top Modérateurs - Classement par Score (J15 - J16)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'Cockpit Interactif'!$Q$1</c:f>
            </c:strRef>
          </c:tx>
          <c:spPr>
            <a:solidFill>
              <a:srgbClr val="2462EB"/>
            </a:solidFill>
            <a:ln cmpd="sng">
              <a:noFill/>
            </a:ln>
          </c:spPr>
          <c:invertIfNegative val="0"/>
          <c:cat>
            <c:strRef>
              <c:f>'Cockpit Interactif'!$P$2:$P$9</c:f>
            </c:strRef>
          </c:cat>
          <c:val>
            <c:numRef>
              <c:f>'Cockpit Interactif'!$Q$2:$Q$9</c:f>
              <c:numCache/>
            </c:numRef>
          </c:val>
        </c:ser>
        <c:axId val="605184191"/>
        <c:axId val="1950644548"/>
      </c:barChart>
      <c:catAx>
        <c:axId val="60518419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Modérateur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50644548"/>
      </c:catAx>
      <c:valAx>
        <c:axId val="195064454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Score Global (J15 - J16)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05184191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👥 Répartition de l'Équipe par Grade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'Cockpit Interactif'!$S$1:$S$5</c:f>
            </c:strRef>
          </c:cat>
          <c:val>
            <c:numRef>
              <c:f>'Cockpit Interactif'!$T$1:$T$5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⚡ Volume Quotidien des Actions de Modération (J15 - J16)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'Actions Modération'!$I$5</c:f>
            </c:strRef>
          </c:tx>
          <c:spPr>
            <a:solidFill>
              <a:srgbClr val="2462EB"/>
            </a:solidFill>
            <a:ln cmpd="sng">
              <a:noFill/>
            </a:ln>
          </c:spPr>
          <c:invertIfNegative val="0"/>
          <c:cat>
            <c:strRef>
              <c:f>'Actions Modération'!$H$6:$H$7</c:f>
            </c:strRef>
          </c:cat>
          <c:val>
            <c:numRef>
              <c:f>'Actions Modération'!$I$6:$I$7</c:f>
              <c:numCache/>
            </c:numRef>
          </c:val>
        </c:ser>
        <c:axId val="71610436"/>
        <c:axId val="18763361"/>
      </c:barChart>
      <c:catAx>
        <c:axId val="716104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Journée (04/10 au 05/10)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763361"/>
      </c:catAx>
      <c:valAx>
        <c:axId val="187633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Volume d'Actions Équipe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1610436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37</xdr:row>
      <xdr:rowOff>190500</xdr:rowOff>
    </xdr:from>
    <xdr:ext cx="6858000" cy="2762250"/>
    <xdr:graphicFrame>
      <xdr:nvGraphicFramePr>
        <xdr:cNvPr id="1" name="Chart 1" title="🏆 Top Modérateurs - Classement par Score (J15 - J16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0</xdr:colOff>
      <xdr:row>10</xdr:row>
      <xdr:rowOff>0</xdr:rowOff>
    </xdr:from>
    <xdr:ext cx="4953000" cy="2762250"/>
    <xdr:graphicFrame>
      <xdr:nvGraphicFramePr>
        <xdr:cNvPr id="2" name="Chart 2" title="👥 Répartition de l'Équipe par Grad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0</xdr:colOff>
      <xdr:row>49</xdr:row>
      <xdr:rowOff>0</xdr:rowOff>
    </xdr:from>
    <xdr:ext cx="6477000" cy="2857500"/>
    <xdr:graphicFrame>
      <xdr:nvGraphicFramePr>
        <xdr:cNvPr id="3" name="Chart 3" title="⚡ Volume Quotidien des Actions de Modération (J15 - J16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AC39" displayName="Table_1" name="Table_1" id="1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62EB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63"/>
    <col customWidth="1" min="2" max="7" width="15.75"/>
    <col customWidth="1" min="8" max="20" width="13.88"/>
    <col customWidth="1" min="21" max="24" width="12.63"/>
    <col customWidth="1" min="25" max="25" width="14.5"/>
    <col customWidth="1" min="26" max="26" width="13.25"/>
    <col customWidth="1" min="27" max="27" width="17.63"/>
    <col customWidth="1" min="28" max="28" width="14.5"/>
    <col customWidth="1" min="29" max="29" width="18.88"/>
  </cols>
  <sheetData>
    <row r="1" ht="27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</row>
    <row r="2" ht="21.0" customHeight="1">
      <c r="A2" s="4" t="s">
        <v>29</v>
      </c>
      <c r="B2" s="5" t="s">
        <v>30</v>
      </c>
      <c r="C2" s="5" t="s">
        <v>30</v>
      </c>
      <c r="D2" s="5" t="s">
        <v>30</v>
      </c>
      <c r="E2" s="5" t="s">
        <v>30</v>
      </c>
      <c r="F2" s="5" t="s">
        <v>30</v>
      </c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>
        <f t="shared" ref="U2:U39" si="1">COUNTIF($E2:$F2, "Pas là")</f>
        <v>2</v>
      </c>
      <c r="V2" s="7">
        <f t="shared" ref="V2:V39" si="2">COUNTIF($E2:$F2, "Absence justifiée")</f>
        <v>0</v>
      </c>
      <c r="W2" s="7">
        <f t="shared" ref="W2:W39" si="3">COUNTIF($E2:$F2, "Active un peu")</f>
        <v>0</v>
      </c>
      <c r="X2" s="7">
        <f t="shared" ref="X2:X39" si="4">COUNTIF($E2:$F2, "Active beaucoup")</f>
        <v>0</v>
      </c>
      <c r="Y2" s="8">
        <f t="shared" ref="Y2:Y39" si="5">IF((W2+X2+U2)=0, 0, (W2+X2)/(W2+X2+U2))</f>
        <v>0</v>
      </c>
      <c r="Z2" s="9">
        <f t="shared" ref="Z2:Z39" si="6">(X2*3)+(W2*1)-(U2*1)</f>
        <v>-2</v>
      </c>
      <c r="AA2" s="10" t="str">
        <f t="shared" ref="AA2:AA39" si="7">IF(Z2&gt;=5, "👑 Top Modo", IF(Z2&gt;=3, "⭐ Modo Actif", IF(Z2&gt;=0, "🔎 En observation", "⚠️ Danger fantôme")))</f>
        <v>⚠️ Danger fantôme</v>
      </c>
      <c r="AB2" s="6" t="str">
        <f>IFERROR(__xludf.DUMMYFUNCTION("IF(AND(E2=""Pas là"", F2=""Pas là""), ""―"", SPARKLINE({IF(E2=""Active beaucoup"",3,IF(E2=""Active un peu"",2,IF(E2=""Absence justifiée"",1,0))),IF(F2=""Active beaucoup"",3,IF(F2=""Active un peu"",2,IF(F2=""Absence justifiée"",1,0)))}, {""charttype"",""co"&amp;"lumn"";""color"",IF(Z2&gt;=5,""#10B981"",IF(Z2&gt;=3,""#3B82F6"",IF(Z2&gt;=0,""#F59E0B"",""#EF4444"")));""ymin"",0;""ymax"",3}))"),"―")</f>
        <v>―</v>
      </c>
      <c r="AC2" s="11" t="str">
        <f>IFERROR(__xludf.DUMMYFUNCTION("AI(""Remplis une valeur appropriée pour cette cellule en fonction du contexte de la table"")"),"Inactif")</f>
        <v>Inactif</v>
      </c>
    </row>
    <row r="3" ht="21.0" customHeight="1">
      <c r="A3" s="12" t="s">
        <v>31</v>
      </c>
      <c r="B3" s="13" t="s">
        <v>30</v>
      </c>
      <c r="C3" s="13" t="s">
        <v>32</v>
      </c>
      <c r="D3" s="13" t="s">
        <v>30</v>
      </c>
      <c r="E3" s="13" t="s">
        <v>32</v>
      </c>
      <c r="F3" s="13" t="s">
        <v>33</v>
      </c>
      <c r="G3" s="13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5">
        <f t="shared" si="1"/>
        <v>0</v>
      </c>
      <c r="V3" s="15">
        <f t="shared" si="2"/>
        <v>0</v>
      </c>
      <c r="W3" s="15">
        <f t="shared" si="3"/>
        <v>1</v>
      </c>
      <c r="X3" s="15">
        <f t="shared" si="4"/>
        <v>1</v>
      </c>
      <c r="Y3" s="16">
        <f t="shared" si="5"/>
        <v>1</v>
      </c>
      <c r="Z3" s="17">
        <f t="shared" si="6"/>
        <v>4</v>
      </c>
      <c r="AA3" s="18" t="str">
        <f t="shared" si="7"/>
        <v>⭐ Modo Actif</v>
      </c>
      <c r="AB3" s="14" t="str">
        <f>IFERROR(__xludf.DUMMYFUNCTION("IF(AND(E3=""Pas là"", F3=""Pas là""), ""―"", SPARKLINE({IF(E3=""Active beaucoup"",3,IF(E3=""Active un peu"",2,IF(E3=""Absence justifiée"",1,0))),IF(F3=""Active beaucoup"",3,IF(F3=""Active un peu"",2,IF(F3=""Absence justifiée"",1,0)))}, {""charttype"",""co"&amp;"lumn"";""color"",IF(Z3&gt;=5,""#10B981"",IF(Z3&gt;=3,""#3B82F6"",IF(Z3&gt;=0,""#F59E0B"",""#EF4444"")));""ymin"",0;""ymax"",3}))"),"")</f>
        <v/>
      </c>
      <c r="AC3" s="19" t="str">
        <f>IFERROR(__xludf.DUMMYFUNCTION("AI(""Remplis une valeur appropriée pour cette cellule en fonction du contexte de la table"")"),"En observation")</f>
        <v>En observation</v>
      </c>
    </row>
    <row r="4" ht="21.0" customHeight="1">
      <c r="A4" s="4" t="s">
        <v>34</v>
      </c>
      <c r="B4" s="5" t="s">
        <v>33</v>
      </c>
      <c r="C4" s="5" t="s">
        <v>33</v>
      </c>
      <c r="D4" s="5" t="s">
        <v>33</v>
      </c>
      <c r="E4" s="5" t="s">
        <v>32</v>
      </c>
      <c r="F4" s="5" t="s">
        <v>33</v>
      </c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7">
        <f t="shared" si="1"/>
        <v>0</v>
      </c>
      <c r="V4" s="7">
        <f t="shared" si="2"/>
        <v>0</v>
      </c>
      <c r="W4" s="7">
        <f t="shared" si="3"/>
        <v>1</v>
      </c>
      <c r="X4" s="7">
        <f t="shared" si="4"/>
        <v>1</v>
      </c>
      <c r="Y4" s="8">
        <f t="shared" si="5"/>
        <v>1</v>
      </c>
      <c r="Z4" s="9">
        <f t="shared" si="6"/>
        <v>4</v>
      </c>
      <c r="AA4" s="10" t="str">
        <f t="shared" si="7"/>
        <v>⭐ Modo Actif</v>
      </c>
      <c r="AB4" s="6" t="str">
        <f>IFERROR(__xludf.DUMMYFUNCTION("IF(AND(E4=""Pas là"", F4=""Pas là""), ""―"", SPARKLINE({IF(E4=""Active beaucoup"",3,IF(E4=""Active un peu"",2,IF(E4=""Absence justifiée"",1,0))),IF(F4=""Active beaucoup"",3,IF(F4=""Active un peu"",2,IF(F4=""Absence justifiée"",1,0)))}, {""charttype"",""co"&amp;"lumn"";""color"",IF(Z4&gt;=5,""#10B981"",IF(Z4&gt;=3,""#3B82F6"",IF(Z4&gt;=0,""#F59E0B"",""#EF4444"")));""ymin"",0;""ymax"",3}))"),"")</f>
        <v/>
      </c>
      <c r="AC4" s="11" t="str">
        <f>IFERROR(__xludf.DUMMYFUNCTION("AI(""Remplis une valeur appropriée pour cette cellule en fonction du contexte de la table"")"),"Très actif")</f>
        <v>Très actif</v>
      </c>
    </row>
    <row r="5" ht="21.0" customHeight="1">
      <c r="A5" s="12" t="s">
        <v>35</v>
      </c>
      <c r="B5" s="13" t="s">
        <v>32</v>
      </c>
      <c r="C5" s="13" t="s">
        <v>32</v>
      </c>
      <c r="D5" s="13" t="s">
        <v>30</v>
      </c>
      <c r="E5" s="13" t="s">
        <v>30</v>
      </c>
      <c r="F5" s="13" t="s">
        <v>30</v>
      </c>
      <c r="G5" s="1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5">
        <f t="shared" si="1"/>
        <v>2</v>
      </c>
      <c r="V5" s="15">
        <f t="shared" si="2"/>
        <v>0</v>
      </c>
      <c r="W5" s="15">
        <f t="shared" si="3"/>
        <v>0</v>
      </c>
      <c r="X5" s="15">
        <f t="shared" si="4"/>
        <v>0</v>
      </c>
      <c r="Y5" s="16">
        <f t="shared" si="5"/>
        <v>0</v>
      </c>
      <c r="Z5" s="17">
        <f t="shared" si="6"/>
        <v>-2</v>
      </c>
      <c r="AA5" s="18" t="str">
        <f t="shared" si="7"/>
        <v>⚠️ Danger fantôme</v>
      </c>
      <c r="AB5" s="14" t="str">
        <f>IFERROR(__xludf.DUMMYFUNCTION("IF(AND(E5=""Pas là"", F5=""Pas là""), ""―"", SPARKLINE({IF(E5=""Active beaucoup"",3,IF(E5=""Active un peu"",2,IF(E5=""Absence justifiée"",1,0))),IF(F5=""Active beaucoup"",3,IF(F5=""Active un peu"",2,IF(F5=""Absence justifiée"",1,0)))}, {""charttype"",""co"&amp;"lumn"";""color"",IF(Z5&gt;=5,""#10B981"",IF(Z5&gt;=3,""#3B82F6"",IF(Z5&gt;=0,""#F59E0B"",""#EF4444"")));""ymin"",0;""ymax"",3}))"),"―")</f>
        <v>―</v>
      </c>
      <c r="AC5" s="19" t="str">
        <f>IFERROR(__xludf.DUMMYFUNCTION("AI(""Remplis une valeur appropriée pour cette cellule en fonction du contexte de la table"")"),"Peu actif")</f>
        <v>Peu actif</v>
      </c>
    </row>
    <row r="6" ht="21.0" customHeight="1">
      <c r="A6" s="4" t="s">
        <v>36</v>
      </c>
      <c r="B6" s="5" t="s">
        <v>33</v>
      </c>
      <c r="C6" s="5" t="s">
        <v>32</v>
      </c>
      <c r="D6" s="5" t="s">
        <v>37</v>
      </c>
      <c r="E6" s="5" t="s">
        <v>30</v>
      </c>
      <c r="F6" s="5" t="s">
        <v>30</v>
      </c>
      <c r="G6" s="5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>
        <f t="shared" si="1"/>
        <v>2</v>
      </c>
      <c r="V6" s="7">
        <f t="shared" si="2"/>
        <v>0</v>
      </c>
      <c r="W6" s="7">
        <f t="shared" si="3"/>
        <v>0</v>
      </c>
      <c r="X6" s="7">
        <f t="shared" si="4"/>
        <v>0</v>
      </c>
      <c r="Y6" s="8">
        <f t="shared" si="5"/>
        <v>0</v>
      </c>
      <c r="Z6" s="9">
        <f t="shared" si="6"/>
        <v>-2</v>
      </c>
      <c r="AA6" s="10" t="str">
        <f t="shared" si="7"/>
        <v>⚠️ Danger fantôme</v>
      </c>
      <c r="AB6" s="6" t="str">
        <f>IFERROR(__xludf.DUMMYFUNCTION("IF(AND(E6=""Pas là"", F6=""Pas là""), ""―"", SPARKLINE({IF(E6=""Active beaucoup"",3,IF(E6=""Active un peu"",2,IF(E6=""Absence justifiée"",1,0))),IF(F6=""Active beaucoup"",3,IF(F6=""Active un peu"",2,IF(F6=""Absence justifiée"",1,0)))}, {""charttype"",""co"&amp;"lumn"";""color"",IF(Z6&gt;=5,""#10B981"",IF(Z6&gt;=3,""#3B82F6"",IF(Z6&gt;=0,""#F59E0B"",""#EF4444"")));""ymin"",0;""ymax"",3}))"),"―")</f>
        <v>―</v>
      </c>
      <c r="AC6" s="11" t="str">
        <f>IFERROR(__xludf.DUMMYFUNCTION("AI(""Remplis une valeur appropriée pour cette cellule en fonction du contexte de la table"")"),"En observation")</f>
        <v>En observation</v>
      </c>
    </row>
    <row r="7" ht="21.0" customHeight="1">
      <c r="A7" s="12" t="s">
        <v>38</v>
      </c>
      <c r="B7" s="13" t="s">
        <v>37</v>
      </c>
      <c r="C7" s="13" t="s">
        <v>37</v>
      </c>
      <c r="D7" s="13" t="s">
        <v>37</v>
      </c>
      <c r="E7" s="13" t="s">
        <v>30</v>
      </c>
      <c r="F7" s="13" t="s">
        <v>30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5">
        <f t="shared" si="1"/>
        <v>2</v>
      </c>
      <c r="V7" s="15">
        <f t="shared" si="2"/>
        <v>0</v>
      </c>
      <c r="W7" s="15">
        <f t="shared" si="3"/>
        <v>0</v>
      </c>
      <c r="X7" s="15">
        <f t="shared" si="4"/>
        <v>0</v>
      </c>
      <c r="Y7" s="16">
        <f t="shared" si="5"/>
        <v>0</v>
      </c>
      <c r="Z7" s="17">
        <f t="shared" si="6"/>
        <v>-2</v>
      </c>
      <c r="AA7" s="18" t="str">
        <f t="shared" si="7"/>
        <v>⚠️ Danger fantôme</v>
      </c>
      <c r="AB7" s="14" t="str">
        <f>IFERROR(__xludf.DUMMYFUNCTION("IF(AND(E7=""Pas là"", F7=""Pas là""), ""―"", SPARKLINE({IF(E7=""Active beaucoup"",3,IF(E7=""Active un peu"",2,IF(E7=""Absence justifiée"",1,0))),IF(F7=""Active beaucoup"",3,IF(F7=""Active un peu"",2,IF(F7=""Absence justifiée"",1,0)))}, {""charttype"",""co"&amp;"lumn"";""color"",IF(Z7&gt;=5,""#10B981"",IF(Z7&gt;=3,""#3B82F6"",IF(Z7&gt;=0,""#F59E0B"",""#EF4444"")));""ymin"",0;""ymax"",3}))"),"―")</f>
        <v>―</v>
      </c>
      <c r="AC7" s="19" t="str">
        <f>IFERROR(__xludf.DUMMYFUNCTION("AI(""Remplis une valeur appropriée pour cette cellule en fonction du contexte de la table"")"),"Absence prolongée")</f>
        <v>Absence prolongée</v>
      </c>
    </row>
    <row r="8" ht="21.0" customHeight="1">
      <c r="A8" s="4" t="s">
        <v>39</v>
      </c>
      <c r="B8" s="5" t="s">
        <v>30</v>
      </c>
      <c r="C8" s="5" t="s">
        <v>30</v>
      </c>
      <c r="D8" s="5" t="s">
        <v>30</v>
      </c>
      <c r="E8" s="5" t="s">
        <v>30</v>
      </c>
      <c r="F8" s="5" t="s">
        <v>30</v>
      </c>
      <c r="G8" s="5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7">
        <f t="shared" si="1"/>
        <v>2</v>
      </c>
      <c r="V8" s="7">
        <f t="shared" si="2"/>
        <v>0</v>
      </c>
      <c r="W8" s="7">
        <f t="shared" si="3"/>
        <v>0</v>
      </c>
      <c r="X8" s="7">
        <f t="shared" si="4"/>
        <v>0</v>
      </c>
      <c r="Y8" s="8">
        <f t="shared" si="5"/>
        <v>0</v>
      </c>
      <c r="Z8" s="9">
        <f t="shared" si="6"/>
        <v>-2</v>
      </c>
      <c r="AA8" s="10" t="str">
        <f t="shared" si="7"/>
        <v>⚠️ Danger fantôme</v>
      </c>
      <c r="AB8" s="6" t="str">
        <f>IFERROR(__xludf.DUMMYFUNCTION("IF(AND(E8=""Pas là"", F8=""Pas là""), ""―"", SPARKLINE({IF(E8=""Active beaucoup"",3,IF(E8=""Active un peu"",2,IF(E8=""Absence justifiée"",1,0))),IF(F8=""Active beaucoup"",3,IF(F8=""Active un peu"",2,IF(F8=""Absence justifiée"",1,0)))}, {""charttype"",""co"&amp;"lumn"";""color"",IF(Z8&gt;=5,""#10B981"",IF(Z8&gt;=3,""#3B82F6"",IF(Z8&gt;=0,""#F59E0B"",""#EF4444"")));""ymin"",0;""ymax"",3}))"),"―")</f>
        <v>―</v>
      </c>
      <c r="AC8" s="11" t="str">
        <f>IFERROR(__xludf.DUMMYFUNCTION("AI(""Remplis une valeur appropriée pour cette cellule en fonction du contexte de la table"")"),"Inactif")</f>
        <v>Inactif</v>
      </c>
    </row>
    <row r="9" ht="21.0" customHeight="1">
      <c r="A9" s="12" t="s">
        <v>40</v>
      </c>
      <c r="B9" s="13" t="s">
        <v>33</v>
      </c>
      <c r="C9" s="13" t="s">
        <v>32</v>
      </c>
      <c r="D9" s="13" t="s">
        <v>37</v>
      </c>
      <c r="E9" s="13" t="s">
        <v>32</v>
      </c>
      <c r="F9" s="13" t="s">
        <v>33</v>
      </c>
      <c r="G9" s="1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5">
        <f t="shared" si="1"/>
        <v>0</v>
      </c>
      <c r="V9" s="15">
        <f t="shared" si="2"/>
        <v>0</v>
      </c>
      <c r="W9" s="15">
        <f t="shared" si="3"/>
        <v>1</v>
      </c>
      <c r="X9" s="15">
        <f t="shared" si="4"/>
        <v>1</v>
      </c>
      <c r="Y9" s="16">
        <f t="shared" si="5"/>
        <v>1</v>
      </c>
      <c r="Z9" s="17">
        <f t="shared" si="6"/>
        <v>4</v>
      </c>
      <c r="AA9" s="18" t="str">
        <f t="shared" si="7"/>
        <v>⭐ Modo Actif</v>
      </c>
      <c r="AB9" s="14" t="str">
        <f>IFERROR(__xludf.DUMMYFUNCTION("IF(AND(E9=""Pas là"", F9=""Pas là""), ""―"", SPARKLINE({IF(E9=""Active beaucoup"",3,IF(E9=""Active un peu"",2,IF(E9=""Absence justifiée"",1,0))),IF(F9=""Active beaucoup"",3,IF(F9=""Active un peu"",2,IF(F9=""Absence justifiée"",1,0)))}, {""charttype"",""co"&amp;"lumn"";""color"",IF(Z9&gt;=5,""#10B981"",IF(Z9&gt;=3,""#3B82F6"",IF(Z9&gt;=0,""#F59E0B"",""#EF4444"")));""ymin"",0;""ymax"",3}))"),"")</f>
        <v/>
      </c>
      <c r="AC9" s="19" t="str">
        <f>IFERROR(__xludf.DUMMYFUNCTION("AI(""Remplis une valeur appropriée pour cette cellule en fonction du contexte de la table"")"),"Actif")</f>
        <v>Actif</v>
      </c>
    </row>
    <row r="10" ht="21.0" customHeight="1">
      <c r="A10" s="4" t="s">
        <v>41</v>
      </c>
      <c r="B10" s="5" t="s">
        <v>33</v>
      </c>
      <c r="C10" s="5" t="s">
        <v>33</v>
      </c>
      <c r="D10" s="5" t="s">
        <v>37</v>
      </c>
      <c r="E10" s="5" t="s">
        <v>30</v>
      </c>
      <c r="F10" s="5" t="s">
        <v>33</v>
      </c>
      <c r="G10" s="5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7">
        <f t="shared" si="1"/>
        <v>1</v>
      </c>
      <c r="V10" s="7">
        <f t="shared" si="2"/>
        <v>0</v>
      </c>
      <c r="W10" s="7">
        <f t="shared" si="3"/>
        <v>0</v>
      </c>
      <c r="X10" s="7">
        <f t="shared" si="4"/>
        <v>1</v>
      </c>
      <c r="Y10" s="8">
        <f t="shared" si="5"/>
        <v>0.5</v>
      </c>
      <c r="Z10" s="9">
        <f t="shared" si="6"/>
        <v>2</v>
      </c>
      <c r="AA10" s="10" t="str">
        <f t="shared" si="7"/>
        <v>🔎 En observation</v>
      </c>
      <c r="AB10" s="6" t="str">
        <f>IFERROR(__xludf.DUMMYFUNCTION("IF(AND(E10=""Pas là"", F10=""Pas là""), ""―"", SPARKLINE({IF(E10=""Active beaucoup"",3,IF(E10=""Active un peu"",2,IF(E10=""Absence justifiée"",1,0))),IF(F10=""Active beaucoup"",3,IF(F10=""Active un peu"",2,IF(F10=""Absence justifiée"",1,0)))}, {""charttyp"&amp;"e"",""column"";""color"",IF(Z10&gt;=5,""#10B981"",IF(Z10&gt;=3,""#3B82F6"",IF(Z10&gt;=0,""#F59E0B"",""#EF4444"")));""ymin"",0;""ymax"",3}))"),"")</f>
        <v/>
      </c>
      <c r="AC10" s="11" t="str">
        <f>IFERROR(__xludf.DUMMYFUNCTION("AI(""Remplis une valeur appropriée pour cette cellule en fonction du contexte de la table"")"),"Actif")</f>
        <v>Actif</v>
      </c>
    </row>
    <row r="11" ht="21.0" customHeight="1">
      <c r="A11" s="12" t="s">
        <v>42</v>
      </c>
      <c r="B11" s="13" t="s">
        <v>32</v>
      </c>
      <c r="C11" s="13" t="s">
        <v>33</v>
      </c>
      <c r="D11" s="13" t="s">
        <v>33</v>
      </c>
      <c r="E11" s="13" t="s">
        <v>32</v>
      </c>
      <c r="F11" s="13" t="s">
        <v>32</v>
      </c>
      <c r="G11" s="1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5">
        <f t="shared" si="1"/>
        <v>0</v>
      </c>
      <c r="V11" s="15">
        <f t="shared" si="2"/>
        <v>0</v>
      </c>
      <c r="W11" s="15">
        <f t="shared" si="3"/>
        <v>2</v>
      </c>
      <c r="X11" s="15">
        <f t="shared" si="4"/>
        <v>0</v>
      </c>
      <c r="Y11" s="16">
        <f t="shared" si="5"/>
        <v>1</v>
      </c>
      <c r="Z11" s="17">
        <f t="shared" si="6"/>
        <v>2</v>
      </c>
      <c r="AA11" s="18" t="str">
        <f t="shared" si="7"/>
        <v>🔎 En observation</v>
      </c>
      <c r="AB11" s="14" t="str">
        <f>IFERROR(__xludf.DUMMYFUNCTION("IF(AND(E11=""Pas là"", F11=""Pas là""), ""―"", SPARKLINE({IF(E11=""Active beaucoup"",3,IF(E11=""Active un peu"",2,IF(E11=""Absence justifiée"",1,0))),IF(F11=""Active beaucoup"",3,IF(F11=""Active un peu"",2,IF(F11=""Absence justifiée"",1,0)))}, {""charttyp"&amp;"e"",""column"";""color"",IF(Z11&gt;=5,""#10B981"",IF(Z11&gt;=3,""#3B82F6"",IF(Z11&gt;=0,""#F59E0B"",""#EF4444"")));""ymin"",0;""ymax"",3}))"),"")</f>
        <v/>
      </c>
      <c r="AC11" s="19" t="str">
        <f>IFERROR(__xludf.DUMMYFUNCTION("AI(""Remplis une valeur appropriée pour cette cellule en fonction du contexte de la table"")"),"Actif")</f>
        <v>Actif</v>
      </c>
    </row>
    <row r="12" ht="21.0" customHeight="1">
      <c r="A12" s="4" t="s">
        <v>43</v>
      </c>
      <c r="B12" s="5" t="s">
        <v>33</v>
      </c>
      <c r="C12" s="5" t="s">
        <v>33</v>
      </c>
      <c r="D12" s="5" t="s">
        <v>37</v>
      </c>
      <c r="E12" s="5" t="s">
        <v>30</v>
      </c>
      <c r="F12" s="5" t="s">
        <v>33</v>
      </c>
      <c r="G12" s="5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7">
        <f t="shared" si="1"/>
        <v>1</v>
      </c>
      <c r="V12" s="7">
        <f t="shared" si="2"/>
        <v>0</v>
      </c>
      <c r="W12" s="7">
        <f t="shared" si="3"/>
        <v>0</v>
      </c>
      <c r="X12" s="7">
        <f t="shared" si="4"/>
        <v>1</v>
      </c>
      <c r="Y12" s="8">
        <f t="shared" si="5"/>
        <v>0.5</v>
      </c>
      <c r="Z12" s="9">
        <f t="shared" si="6"/>
        <v>2</v>
      </c>
      <c r="AA12" s="10" t="str">
        <f t="shared" si="7"/>
        <v>🔎 En observation</v>
      </c>
      <c r="AB12" s="6" t="str">
        <f>IFERROR(__xludf.DUMMYFUNCTION("IF(AND(E12=""Pas là"", F12=""Pas là""), ""―"", SPARKLINE({IF(E12=""Active beaucoup"",3,IF(E12=""Active un peu"",2,IF(E12=""Absence justifiée"",1,0))),IF(F12=""Active beaucoup"",3,IF(F12=""Active un peu"",2,IF(F12=""Absence justifiée"",1,0)))}, {""charttyp"&amp;"e"",""column"";""color"",IF(Z12&gt;=5,""#10B981"",IF(Z12&gt;=3,""#3B82F6"",IF(Z12&gt;=0,""#F59E0B"",""#EF4444"")));""ymin"",0;""ymax"",3}))"),"")</f>
        <v/>
      </c>
      <c r="AC12" s="11" t="str">
        <f>IFERROR(__xludf.DUMMYFUNCTION("AI(""Remplis une valeur appropriée pour cette cellule en fonction du contexte de la table"")"),"Actif")</f>
        <v>Actif</v>
      </c>
    </row>
    <row r="13" ht="21.0" customHeight="1">
      <c r="A13" s="12" t="s">
        <v>44</v>
      </c>
      <c r="B13" s="13" t="s">
        <v>37</v>
      </c>
      <c r="C13" s="13" t="s">
        <v>30</v>
      </c>
      <c r="D13" s="13" t="s">
        <v>30</v>
      </c>
      <c r="E13" s="13" t="s">
        <v>30</v>
      </c>
      <c r="F13" s="13" t="s">
        <v>30</v>
      </c>
      <c r="G13" s="1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5">
        <f t="shared" si="1"/>
        <v>2</v>
      </c>
      <c r="V13" s="15">
        <f t="shared" si="2"/>
        <v>0</v>
      </c>
      <c r="W13" s="15">
        <f t="shared" si="3"/>
        <v>0</v>
      </c>
      <c r="X13" s="15">
        <f t="shared" si="4"/>
        <v>0</v>
      </c>
      <c r="Y13" s="16">
        <f t="shared" si="5"/>
        <v>0</v>
      </c>
      <c r="Z13" s="17">
        <f t="shared" si="6"/>
        <v>-2</v>
      </c>
      <c r="AA13" s="18" t="str">
        <f t="shared" si="7"/>
        <v>⚠️ Danger fantôme</v>
      </c>
      <c r="AB13" s="14" t="str">
        <f>IFERROR(__xludf.DUMMYFUNCTION("IF(AND(E13=""Pas là"", F13=""Pas là""), ""―"", SPARKLINE({IF(E13=""Active beaucoup"",3,IF(E13=""Active un peu"",2,IF(E13=""Absence justifiée"",1,0))),IF(F13=""Active beaucoup"",3,IF(F13=""Active un peu"",2,IF(F13=""Absence justifiée"",1,0)))}, {""charttyp"&amp;"e"",""column"";""color"",IF(Z13&gt;=5,""#10B981"",IF(Z13&gt;=3,""#3B82F6"",IF(Z13&gt;=0,""#F59E0B"",""#EF4444"")));""ymin"",0;""ymax"",3}))"),"―")</f>
        <v>―</v>
      </c>
      <c r="AC13" s="19" t="str">
        <f>IFERROR(__xludf.DUMMYFUNCTION("AI(""Remplis une valeur appropriée pour cette cellule en fonction du contexte de la table"")"),"Inactif")</f>
        <v>Inactif</v>
      </c>
    </row>
    <row r="14" ht="21.0" customHeight="1">
      <c r="A14" s="4" t="s">
        <v>45</v>
      </c>
      <c r="B14" s="5" t="s">
        <v>30</v>
      </c>
      <c r="C14" s="5" t="s">
        <v>30</v>
      </c>
      <c r="D14" s="5" t="s">
        <v>30</v>
      </c>
      <c r="E14" s="5" t="s">
        <v>33</v>
      </c>
      <c r="F14" s="5" t="s">
        <v>30</v>
      </c>
      <c r="G14" s="5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7">
        <f t="shared" si="1"/>
        <v>1</v>
      </c>
      <c r="V14" s="7">
        <f t="shared" si="2"/>
        <v>0</v>
      </c>
      <c r="W14" s="7">
        <f t="shared" si="3"/>
        <v>0</v>
      </c>
      <c r="X14" s="7">
        <f t="shared" si="4"/>
        <v>1</v>
      </c>
      <c r="Y14" s="8">
        <f t="shared" si="5"/>
        <v>0.5</v>
      </c>
      <c r="Z14" s="9">
        <f t="shared" si="6"/>
        <v>2</v>
      </c>
      <c r="AA14" s="10" t="str">
        <f t="shared" si="7"/>
        <v>🔎 En observation</v>
      </c>
      <c r="AB14" s="6" t="str">
        <f>IFERROR(__xludf.DUMMYFUNCTION("IF(AND(E14=""Pas là"", F14=""Pas là""), ""―"", SPARKLINE({IF(E14=""Active beaucoup"",3,IF(E14=""Active un peu"",2,IF(E14=""Absence justifiée"",1,0))),IF(F14=""Active beaucoup"",3,IF(F14=""Active un peu"",2,IF(F14=""Absence justifiée"",1,0)))}, {""charttyp"&amp;"e"",""column"";""color"",IF(Z14&gt;=5,""#10B981"",IF(Z14&gt;=3,""#3B82F6"",IF(Z14&gt;=0,""#F59E0B"",""#EF4444"")));""ymin"",0;""ymax"",3}))"),"")</f>
        <v/>
      </c>
      <c r="AC14" s="11" t="str">
        <f>IFERROR(__xludf.DUMMYFUNCTION("AI(""Remplis une valeur appropriée pour cette cellule en fonction du contexte de la table"")"),"Peu actif")</f>
        <v>Peu actif</v>
      </c>
    </row>
    <row r="15" ht="21.0" customHeight="1">
      <c r="A15" s="12" t="s">
        <v>46</v>
      </c>
      <c r="B15" s="13" t="s">
        <v>30</v>
      </c>
      <c r="C15" s="13" t="s">
        <v>30</v>
      </c>
      <c r="D15" s="13" t="s">
        <v>30</v>
      </c>
      <c r="E15" s="13" t="s">
        <v>30</v>
      </c>
      <c r="F15" s="13" t="s">
        <v>30</v>
      </c>
      <c r="G15" s="1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5">
        <f t="shared" si="1"/>
        <v>2</v>
      </c>
      <c r="V15" s="15">
        <f t="shared" si="2"/>
        <v>0</v>
      </c>
      <c r="W15" s="15">
        <f t="shared" si="3"/>
        <v>0</v>
      </c>
      <c r="X15" s="15">
        <f t="shared" si="4"/>
        <v>0</v>
      </c>
      <c r="Y15" s="16">
        <f t="shared" si="5"/>
        <v>0</v>
      </c>
      <c r="Z15" s="17">
        <f t="shared" si="6"/>
        <v>-2</v>
      </c>
      <c r="AA15" s="18" t="str">
        <f t="shared" si="7"/>
        <v>⚠️ Danger fantôme</v>
      </c>
      <c r="AB15" s="14" t="str">
        <f>IFERROR(__xludf.DUMMYFUNCTION("IF(AND(E15=""Pas là"", F15=""Pas là""), ""―"", SPARKLINE({IF(E15=""Active beaucoup"",3,IF(E15=""Active un peu"",2,IF(E15=""Absence justifiée"",1,0))),IF(F15=""Active beaucoup"",3,IF(F15=""Active un peu"",2,IF(F15=""Absence justifiée"",1,0)))}, {""charttyp"&amp;"e"",""column"";""color"",IF(Z15&gt;=5,""#10B981"",IF(Z15&gt;=3,""#3B82F6"",IF(Z15&gt;=0,""#F59E0B"",""#EF4444"")));""ymin"",0;""ymax"",3}))"),"―")</f>
        <v>―</v>
      </c>
      <c r="AC15" s="19" t="str">
        <f>IFERROR(__xludf.DUMMYFUNCTION("AI(""Remplis une valeur appropriée pour cette cellule en fonction du contexte de la table"")"),"Inactif")</f>
        <v>Inactif</v>
      </c>
    </row>
    <row r="16" ht="21.0" customHeight="1">
      <c r="A16" s="4" t="s">
        <v>47</v>
      </c>
      <c r="B16" s="5" t="s">
        <v>33</v>
      </c>
      <c r="C16" s="5" t="s">
        <v>33</v>
      </c>
      <c r="D16" s="5" t="s">
        <v>33</v>
      </c>
      <c r="E16" s="5" t="s">
        <v>33</v>
      </c>
      <c r="F16" s="5" t="s">
        <v>37</v>
      </c>
      <c r="G16" s="5" t="s">
        <v>37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7">
        <f t="shared" si="1"/>
        <v>0</v>
      </c>
      <c r="V16" s="7">
        <f t="shared" si="2"/>
        <v>1</v>
      </c>
      <c r="W16" s="7">
        <f t="shared" si="3"/>
        <v>0</v>
      </c>
      <c r="X16" s="7">
        <f t="shared" si="4"/>
        <v>1</v>
      </c>
      <c r="Y16" s="8">
        <f t="shared" si="5"/>
        <v>1</v>
      </c>
      <c r="Z16" s="9">
        <f t="shared" si="6"/>
        <v>3</v>
      </c>
      <c r="AA16" s="10" t="str">
        <f t="shared" si="7"/>
        <v>⭐ Modo Actif</v>
      </c>
      <c r="AB16" s="6" t="str">
        <f>IFERROR(__xludf.DUMMYFUNCTION("IF(AND(E16=""Pas là"", F16=""Pas là""), ""―"", SPARKLINE({IF(E16=""Active beaucoup"",3,IF(E16=""Active un peu"",2,IF(E16=""Absence justifiée"",1,0))),IF(F16=""Active beaucoup"",3,IF(F16=""Active un peu"",2,IF(F16=""Absence justifiée"",1,0)))}, {""charttyp"&amp;"e"",""column"";""color"",IF(Z16&gt;=5,""#10B981"",IF(Z16&gt;=3,""#3B82F6"",IF(Z16&gt;=0,""#F59E0B"",""#EF4444"")));""ymin"",0;""ymax"",3}))"),"")</f>
        <v/>
      </c>
      <c r="AC16" s="11" t="str">
        <f>IFERROR(__xludf.DUMMYFUNCTION("AI(""Remplis une valeur appropriée pour cette cellule en fonction du contexte de la table"")"),"Très actif")</f>
        <v>Très actif</v>
      </c>
    </row>
    <row r="17" ht="21.0" customHeight="1">
      <c r="A17" s="12" t="s">
        <v>48</v>
      </c>
      <c r="B17" s="13" t="s">
        <v>32</v>
      </c>
      <c r="C17" s="13" t="s">
        <v>30</v>
      </c>
      <c r="D17" s="13" t="s">
        <v>30</v>
      </c>
      <c r="E17" s="13" t="s">
        <v>30</v>
      </c>
      <c r="F17" s="13" t="s">
        <v>30</v>
      </c>
      <c r="G17" s="1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>
        <f t="shared" si="1"/>
        <v>2</v>
      </c>
      <c r="V17" s="15">
        <f t="shared" si="2"/>
        <v>0</v>
      </c>
      <c r="W17" s="15">
        <f t="shared" si="3"/>
        <v>0</v>
      </c>
      <c r="X17" s="15">
        <f t="shared" si="4"/>
        <v>0</v>
      </c>
      <c r="Y17" s="16">
        <f t="shared" si="5"/>
        <v>0</v>
      </c>
      <c r="Z17" s="17">
        <f t="shared" si="6"/>
        <v>-2</v>
      </c>
      <c r="AA17" s="18" t="str">
        <f t="shared" si="7"/>
        <v>⚠️ Danger fantôme</v>
      </c>
      <c r="AB17" s="14" t="str">
        <f>IFERROR(__xludf.DUMMYFUNCTION("IF(AND(E17=""Pas là"", F17=""Pas là""), ""―"", SPARKLINE({IF(E17=""Active beaucoup"",3,IF(E17=""Active un peu"",2,IF(E17=""Absence justifiée"",1,0))),IF(F17=""Active beaucoup"",3,IF(F17=""Active un peu"",2,IF(F17=""Absence justifiée"",1,0)))}, {""charttyp"&amp;"e"",""column"";""color"",IF(Z17&gt;=5,""#10B981"",IF(Z17&gt;=3,""#3B82F6"",IF(Z17&gt;=0,""#F59E0B"",""#EF4444"")));""ymin"",0;""ymax"",3}))"),"―")</f>
        <v>―</v>
      </c>
      <c r="AC17" s="19" t="str">
        <f>IFERROR(__xludf.DUMMYFUNCTION("AI(""Remplis une valeur appropriée pour cette cellule en fonction du contexte de la table"")"),"Inactif")</f>
        <v>Inactif</v>
      </c>
    </row>
    <row r="18" ht="21.0" customHeight="1">
      <c r="A18" s="4" t="s">
        <v>49</v>
      </c>
      <c r="B18" s="5" t="s">
        <v>50</v>
      </c>
      <c r="C18" s="5" t="s">
        <v>50</v>
      </c>
      <c r="D18" s="5" t="s">
        <v>50</v>
      </c>
      <c r="E18" s="5" t="s">
        <v>32</v>
      </c>
      <c r="F18" s="5" t="s">
        <v>30</v>
      </c>
      <c r="G18" s="5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7">
        <f t="shared" si="1"/>
        <v>1</v>
      </c>
      <c r="V18" s="7">
        <f t="shared" si="2"/>
        <v>0</v>
      </c>
      <c r="W18" s="7">
        <f t="shared" si="3"/>
        <v>1</v>
      </c>
      <c r="X18" s="7">
        <f t="shared" si="4"/>
        <v>0</v>
      </c>
      <c r="Y18" s="20">
        <f t="shared" si="5"/>
        <v>0.5</v>
      </c>
      <c r="Z18" s="21">
        <f t="shared" si="6"/>
        <v>0</v>
      </c>
      <c r="AA18" s="10" t="str">
        <f t="shared" si="7"/>
        <v>🔎 En observation</v>
      </c>
      <c r="AB18" s="6" t="str">
        <f>IFERROR(__xludf.DUMMYFUNCTION("IF(AND(E18=""Pas là"", F18=""Pas là""), ""―"", SPARKLINE({IF(E18=""Active beaucoup"",3,IF(E18=""Active un peu"",2,IF(E18=""Absence justifiée"",1,0))),IF(F18=""Active beaucoup"",3,IF(F18=""Active un peu"",2,IF(F18=""Absence justifiée"",1,0)))}, {""charttyp"&amp;"e"",""column"";""color"",IF(Z18&gt;=5,""#10B981"",IF(Z18&gt;=3,""#3B82F6"",IF(Z18&gt;=0,""#F59E0B"",""#EF4444"")));""ymin"",0;""ymax"",3}))"),"")</f>
        <v/>
      </c>
      <c r="AC18" s="11" t="str">
        <f>IFERROR(__xludf.DUMMYFUNCTION("AI(""Remplis une valeur appropriée pour cette cellule en fonction du contexte de la table"")"),"Retirée")</f>
        <v>Retirée</v>
      </c>
    </row>
    <row r="19" ht="21.0" customHeight="1">
      <c r="A19" s="12" t="s">
        <v>51</v>
      </c>
      <c r="B19" s="13" t="s">
        <v>33</v>
      </c>
      <c r="C19" s="13" t="s">
        <v>30</v>
      </c>
      <c r="D19" s="13" t="s">
        <v>33</v>
      </c>
      <c r="E19" s="13" t="s">
        <v>33</v>
      </c>
      <c r="F19" s="13" t="s">
        <v>33</v>
      </c>
      <c r="G19" s="1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5">
        <f t="shared" si="1"/>
        <v>0</v>
      </c>
      <c r="V19" s="15">
        <f t="shared" si="2"/>
        <v>0</v>
      </c>
      <c r="W19" s="15">
        <f t="shared" si="3"/>
        <v>0</v>
      </c>
      <c r="X19" s="15">
        <f t="shared" si="4"/>
        <v>2</v>
      </c>
      <c r="Y19" s="16">
        <f t="shared" si="5"/>
        <v>1</v>
      </c>
      <c r="Z19" s="17">
        <f t="shared" si="6"/>
        <v>6</v>
      </c>
      <c r="AA19" s="18" t="str">
        <f t="shared" si="7"/>
        <v>👑 Top Modo</v>
      </c>
      <c r="AB19" s="14" t="str">
        <f>IFERROR(__xludf.DUMMYFUNCTION("IF(AND(E19=""Pas là"", F19=""Pas là""), ""―"", SPARKLINE({IF(E19=""Active beaucoup"",3,IF(E19=""Active un peu"",2,IF(E19=""Absence justifiée"",1,0))),IF(F19=""Active beaucoup"",3,IF(F19=""Active un peu"",2,IF(F19=""Absence justifiée"",1,0)))}, {""charttyp"&amp;"e"",""column"";""color"",IF(Z19&gt;=5,""#10B981"",IF(Z19&gt;=3,""#3B82F6"",IF(Z19&gt;=0,""#F59E0B"",""#EF4444"")));""ymin"",0;""ymax"",3}))"),"")</f>
        <v/>
      </c>
      <c r="AC19" s="19" t="str">
        <f>IFERROR(__xludf.DUMMYFUNCTION("AI(""Remplis une valeur appropriée pour cette cellule en fonction du contexte de la table"")"),"Actif")</f>
        <v>Actif</v>
      </c>
    </row>
    <row r="20" ht="21.0" customHeight="1">
      <c r="A20" s="4" t="s">
        <v>52</v>
      </c>
      <c r="B20" s="5" t="s">
        <v>30</v>
      </c>
      <c r="C20" s="5" t="s">
        <v>30</v>
      </c>
      <c r="D20" s="5" t="s">
        <v>30</v>
      </c>
      <c r="E20" s="5" t="s">
        <v>30</v>
      </c>
      <c r="F20" s="5" t="s">
        <v>30</v>
      </c>
      <c r="G20" s="5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7">
        <f t="shared" si="1"/>
        <v>2</v>
      </c>
      <c r="V20" s="7">
        <f t="shared" si="2"/>
        <v>0</v>
      </c>
      <c r="W20" s="7">
        <f t="shared" si="3"/>
        <v>0</v>
      </c>
      <c r="X20" s="7">
        <f t="shared" si="4"/>
        <v>0</v>
      </c>
      <c r="Y20" s="8">
        <f t="shared" si="5"/>
        <v>0</v>
      </c>
      <c r="Z20" s="9">
        <f t="shared" si="6"/>
        <v>-2</v>
      </c>
      <c r="AA20" s="10" t="str">
        <f t="shared" si="7"/>
        <v>⚠️ Danger fantôme</v>
      </c>
      <c r="AB20" s="6" t="str">
        <f>IFERROR(__xludf.DUMMYFUNCTION("IF(AND(E20=""Pas là"", F20=""Pas là""), ""―"", SPARKLINE({IF(E20=""Active beaucoup"",3,IF(E20=""Active un peu"",2,IF(E20=""Absence justifiée"",1,0))),IF(F20=""Active beaucoup"",3,IF(F20=""Active un peu"",2,IF(F20=""Absence justifiée"",1,0)))}, {""charttyp"&amp;"e"",""column"";""color"",IF(Z20&gt;=5,""#10B981"",IF(Z20&gt;=3,""#3B82F6"",IF(Z20&gt;=0,""#F59E0B"",""#EF4444"")));""ymin"",0;""ymax"",3}))"),"―")</f>
        <v>―</v>
      </c>
      <c r="AC20" s="11" t="str">
        <f>IFERROR(__xludf.DUMMYFUNCTION("AI(""Remplis une valeur appropriée pour cette cellule en fonction du contexte de la table"")"),"Inactif")</f>
        <v>Inactif</v>
      </c>
    </row>
    <row r="21" ht="21.0" customHeight="1">
      <c r="A21" s="12" t="s">
        <v>53</v>
      </c>
      <c r="B21" s="13" t="s">
        <v>37</v>
      </c>
      <c r="C21" s="13" t="s">
        <v>37</v>
      </c>
      <c r="D21" s="13" t="s">
        <v>37</v>
      </c>
      <c r="E21" s="13" t="s">
        <v>30</v>
      </c>
      <c r="F21" s="13" t="s">
        <v>30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5">
        <f t="shared" si="1"/>
        <v>2</v>
      </c>
      <c r="V21" s="15">
        <f t="shared" si="2"/>
        <v>0</v>
      </c>
      <c r="W21" s="15">
        <f t="shared" si="3"/>
        <v>0</v>
      </c>
      <c r="X21" s="15">
        <f t="shared" si="4"/>
        <v>0</v>
      </c>
      <c r="Y21" s="16">
        <f t="shared" si="5"/>
        <v>0</v>
      </c>
      <c r="Z21" s="17">
        <f t="shared" si="6"/>
        <v>-2</v>
      </c>
      <c r="AA21" s="18" t="str">
        <f t="shared" si="7"/>
        <v>⚠️ Danger fantôme</v>
      </c>
      <c r="AB21" s="14" t="str">
        <f>IFERROR(__xludf.DUMMYFUNCTION("IF(AND(E21=""Pas là"", F21=""Pas là""), ""―"", SPARKLINE({IF(E21=""Active beaucoup"",3,IF(E21=""Active un peu"",2,IF(E21=""Absence justifiée"",1,0))),IF(F21=""Active beaucoup"",3,IF(F21=""Active un peu"",2,IF(F21=""Absence justifiée"",1,0)))}, {""charttyp"&amp;"e"",""column"";""color"",IF(Z21&gt;=5,""#10B981"",IF(Z21&gt;=3,""#3B82F6"",IF(Z21&gt;=0,""#F59E0B"",""#EF4444"")));""ymin"",0;""ymax"",3}))"),"―")</f>
        <v>―</v>
      </c>
      <c r="AC21" s="19" t="str">
        <f>IFERROR(__xludf.DUMMYFUNCTION("AI(""Remplis une valeur appropriée pour cette cellule en fonction du contexte de la table"")"),"Absence justifiée")</f>
        <v>Absence justifiée</v>
      </c>
    </row>
    <row r="22" ht="21.0" customHeight="1">
      <c r="A22" s="4" t="s">
        <v>54</v>
      </c>
      <c r="B22" s="5" t="s">
        <v>30</v>
      </c>
      <c r="C22" s="5" t="s">
        <v>32</v>
      </c>
      <c r="D22" s="5" t="s">
        <v>32</v>
      </c>
      <c r="E22" s="5" t="s">
        <v>32</v>
      </c>
      <c r="F22" s="5" t="s">
        <v>33</v>
      </c>
      <c r="G22" s="5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7">
        <f t="shared" si="1"/>
        <v>0</v>
      </c>
      <c r="V22" s="7">
        <f t="shared" si="2"/>
        <v>0</v>
      </c>
      <c r="W22" s="7">
        <f t="shared" si="3"/>
        <v>1</v>
      </c>
      <c r="X22" s="7">
        <f t="shared" si="4"/>
        <v>1</v>
      </c>
      <c r="Y22" s="8">
        <f t="shared" si="5"/>
        <v>1</v>
      </c>
      <c r="Z22" s="9">
        <f t="shared" si="6"/>
        <v>4</v>
      </c>
      <c r="AA22" s="10" t="str">
        <f t="shared" si="7"/>
        <v>⭐ Modo Actif</v>
      </c>
      <c r="AB22" s="6" t="str">
        <f>IFERROR(__xludf.DUMMYFUNCTION("IF(AND(E22=""Pas là"", F22=""Pas là""), ""―"", SPARKLINE({IF(E22=""Active beaucoup"",3,IF(E22=""Active un peu"",2,IF(E22=""Absence justifiée"",1,0))),IF(F22=""Active beaucoup"",3,IF(F22=""Active un peu"",2,IF(F22=""Absence justifiée"",1,0)))}, {""charttyp"&amp;"e"",""column"";""color"",IF(Z22&gt;=5,""#10B981"",IF(Z22&gt;=3,""#3B82F6"",IF(Z22&gt;=0,""#F59E0B"",""#EF4444"")));""ymin"",0;""ymax"",3}))"),"")</f>
        <v/>
      </c>
      <c r="AC22" s="11" t="str">
        <f>IFERROR(__xludf.DUMMYFUNCTION("AI(""Remplis une valeur appropriée pour cette cellule en fonction du contexte de la table"")"),"Peu actif")</f>
        <v>Peu actif</v>
      </c>
    </row>
    <row r="23" ht="21.0" customHeight="1">
      <c r="A23" s="12" t="s">
        <v>55</v>
      </c>
      <c r="B23" s="13" t="s">
        <v>30</v>
      </c>
      <c r="C23" s="13" t="s">
        <v>37</v>
      </c>
      <c r="D23" s="13" t="s">
        <v>30</v>
      </c>
      <c r="E23" s="13" t="s">
        <v>30</v>
      </c>
      <c r="F23" s="13" t="s">
        <v>30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5">
        <f t="shared" si="1"/>
        <v>2</v>
      </c>
      <c r="V23" s="15">
        <f t="shared" si="2"/>
        <v>0</v>
      </c>
      <c r="W23" s="15">
        <f t="shared" si="3"/>
        <v>0</v>
      </c>
      <c r="X23" s="15">
        <f t="shared" si="4"/>
        <v>0</v>
      </c>
      <c r="Y23" s="16">
        <f t="shared" si="5"/>
        <v>0</v>
      </c>
      <c r="Z23" s="17">
        <f t="shared" si="6"/>
        <v>-2</v>
      </c>
      <c r="AA23" s="18" t="str">
        <f t="shared" si="7"/>
        <v>⚠️ Danger fantôme</v>
      </c>
      <c r="AB23" s="14" t="str">
        <f>IFERROR(__xludf.DUMMYFUNCTION("IF(AND(E23=""Pas là"", F23=""Pas là""), ""―"", SPARKLINE({IF(E23=""Active beaucoup"",3,IF(E23=""Active un peu"",2,IF(E23=""Absence justifiée"",1,0))),IF(F23=""Active beaucoup"",3,IF(F23=""Active un peu"",2,IF(F23=""Absence justifiée"",1,0)))}, {""charttyp"&amp;"e"",""column"";""color"",IF(Z23&gt;=5,""#10B981"",IF(Z23&gt;=3,""#3B82F6"",IF(Z23&gt;=0,""#F59E0B"",""#EF4444"")));""ymin"",0;""ymax"",3}))"),"―")</f>
        <v>―</v>
      </c>
      <c r="AC23" s="19" t="str">
        <f>IFERROR(__xludf.DUMMYFUNCTION("AI(""Remplis une valeur appropriée pour cette cellule en fonction du contexte de la table"")"),"Inactif")</f>
        <v>Inactif</v>
      </c>
    </row>
    <row r="24" ht="21.0" customHeight="1">
      <c r="A24" s="4" t="s">
        <v>56</v>
      </c>
      <c r="B24" s="5" t="s">
        <v>33</v>
      </c>
      <c r="C24" s="5" t="s">
        <v>33</v>
      </c>
      <c r="D24" s="5" t="s">
        <v>33</v>
      </c>
      <c r="E24" s="5" t="s">
        <v>33</v>
      </c>
      <c r="F24" s="5" t="s">
        <v>33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7">
        <f t="shared" si="1"/>
        <v>0</v>
      </c>
      <c r="V24" s="7">
        <f t="shared" si="2"/>
        <v>0</v>
      </c>
      <c r="W24" s="7">
        <f t="shared" si="3"/>
        <v>0</v>
      </c>
      <c r="X24" s="7">
        <f t="shared" si="4"/>
        <v>2</v>
      </c>
      <c r="Y24" s="8">
        <f t="shared" si="5"/>
        <v>1</v>
      </c>
      <c r="Z24" s="9">
        <f t="shared" si="6"/>
        <v>6</v>
      </c>
      <c r="AA24" s="10" t="str">
        <f t="shared" si="7"/>
        <v>👑 Top Modo</v>
      </c>
      <c r="AB24" s="6" t="str">
        <f>IFERROR(__xludf.DUMMYFUNCTION("IF(AND(E24=""Pas là"", F24=""Pas là""), ""―"", SPARKLINE({IF(E24=""Active beaucoup"",3,IF(E24=""Active un peu"",2,IF(E24=""Absence justifiée"",1,0))),IF(F24=""Active beaucoup"",3,IF(F24=""Active un peu"",2,IF(F24=""Absence justifiée"",1,0)))}, {""charttyp"&amp;"e"",""column"";""color"",IF(Z24&gt;=5,""#10B981"",IF(Z24&gt;=3,""#3B82F6"",IF(Z24&gt;=0,""#F59E0B"",""#EF4444"")));""ymin"",0;""ymax"",3}))"),"")</f>
        <v/>
      </c>
      <c r="AC24" s="11" t="str">
        <f>IFERROR(__xludf.DUMMYFUNCTION("AI(""Remplis une valeur appropriée pour cette cellule en fonction du contexte de la table"")"),"Actif")</f>
        <v>Actif</v>
      </c>
    </row>
    <row r="25" ht="21.0" customHeight="1">
      <c r="A25" s="12" t="s">
        <v>57</v>
      </c>
      <c r="B25" s="13" t="s">
        <v>32</v>
      </c>
      <c r="C25" s="13" t="s">
        <v>33</v>
      </c>
      <c r="D25" s="13" t="s">
        <v>32</v>
      </c>
      <c r="E25" s="13" t="s">
        <v>33</v>
      </c>
      <c r="F25" s="13" t="s">
        <v>33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5">
        <f t="shared" si="1"/>
        <v>0</v>
      </c>
      <c r="V25" s="15">
        <f t="shared" si="2"/>
        <v>0</v>
      </c>
      <c r="W25" s="15">
        <f t="shared" si="3"/>
        <v>0</v>
      </c>
      <c r="X25" s="15">
        <f t="shared" si="4"/>
        <v>2</v>
      </c>
      <c r="Y25" s="16">
        <f t="shared" si="5"/>
        <v>1</v>
      </c>
      <c r="Z25" s="17">
        <f t="shared" si="6"/>
        <v>6</v>
      </c>
      <c r="AA25" s="18" t="str">
        <f t="shared" si="7"/>
        <v>👑 Top Modo</v>
      </c>
      <c r="AB25" s="14" t="str">
        <f>IFERROR(__xludf.DUMMYFUNCTION("IF(AND(E25=""Pas là"", F25=""Pas là""), ""―"", SPARKLINE({IF(E25=""Active beaucoup"",3,IF(E25=""Active un peu"",2,IF(E25=""Absence justifiée"",1,0))),IF(F25=""Active beaucoup"",3,IF(F25=""Active un peu"",2,IF(F25=""Absence justifiée"",1,0)))}, {""charttyp"&amp;"e"",""column"";""color"",IF(Z25&gt;=5,""#10B981"",IF(Z25&gt;=3,""#3B82F6"",IF(Z25&gt;=0,""#F59E0B"",""#EF4444"")));""ymin"",0;""ymax"",3}))"),"")</f>
        <v/>
      </c>
      <c r="AC25" s="19" t="str">
        <f>IFERROR(__xludf.DUMMYFUNCTION("AI(""Remplis une valeur appropriée pour cette cellule en fonction du contexte de la table"")"),"Actif")</f>
        <v>Actif</v>
      </c>
    </row>
    <row r="26" ht="21.0" customHeight="1">
      <c r="A26" s="4" t="s">
        <v>58</v>
      </c>
      <c r="B26" s="5" t="s">
        <v>33</v>
      </c>
      <c r="C26" s="5" t="s">
        <v>37</v>
      </c>
      <c r="D26" s="5" t="s">
        <v>37</v>
      </c>
      <c r="E26" s="5" t="s">
        <v>33</v>
      </c>
      <c r="F26" s="5" t="s">
        <v>33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7">
        <f t="shared" si="1"/>
        <v>0</v>
      </c>
      <c r="V26" s="7">
        <f t="shared" si="2"/>
        <v>0</v>
      </c>
      <c r="W26" s="7">
        <f t="shared" si="3"/>
        <v>0</v>
      </c>
      <c r="X26" s="7">
        <f t="shared" si="4"/>
        <v>2</v>
      </c>
      <c r="Y26" s="8">
        <f t="shared" si="5"/>
        <v>1</v>
      </c>
      <c r="Z26" s="9">
        <f t="shared" si="6"/>
        <v>6</v>
      </c>
      <c r="AA26" s="10" t="str">
        <f t="shared" si="7"/>
        <v>👑 Top Modo</v>
      </c>
      <c r="AB26" s="6" t="str">
        <f>IFERROR(__xludf.DUMMYFUNCTION("IF(AND(E26=""Pas là"", F26=""Pas là""), ""―"", SPARKLINE({IF(E26=""Active beaucoup"",3,IF(E26=""Active un peu"",2,IF(E26=""Absence justifiée"",1,0))),IF(F26=""Active beaucoup"",3,IF(F26=""Active un peu"",2,IF(F26=""Absence justifiée"",1,0)))}, {""charttyp"&amp;"e"",""column"";""color"",IF(Z26&gt;=5,""#10B981"",IF(Z26&gt;=3,""#3B82F6"",IF(Z26&gt;=0,""#F59E0B"",""#EF4444"")));""ymin"",0;""ymax"",3}))"),"")</f>
        <v/>
      </c>
      <c r="AC26" s="11" t="str">
        <f>IFERROR(__xludf.DUMMYFUNCTION("AI(""Remplis une valeur appropriée pour cette cellule en fonction du contexte de la table"")"),"Actif")</f>
        <v>Actif</v>
      </c>
    </row>
    <row r="27" ht="21.0" customHeight="1">
      <c r="A27" s="12" t="s">
        <v>59</v>
      </c>
      <c r="B27" s="13"/>
      <c r="C27" s="13"/>
      <c r="D27" s="13"/>
      <c r="E27" s="13" t="s">
        <v>33</v>
      </c>
      <c r="F27" s="13" t="s">
        <v>33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5">
        <f t="shared" si="1"/>
        <v>0</v>
      </c>
      <c r="V27" s="15">
        <f t="shared" si="2"/>
        <v>0</v>
      </c>
      <c r="W27" s="15">
        <f t="shared" si="3"/>
        <v>0</v>
      </c>
      <c r="X27" s="15">
        <f t="shared" si="4"/>
        <v>2</v>
      </c>
      <c r="Y27" s="16">
        <f t="shared" si="5"/>
        <v>1</v>
      </c>
      <c r="Z27" s="17">
        <f t="shared" si="6"/>
        <v>6</v>
      </c>
      <c r="AA27" s="18" t="str">
        <f t="shared" si="7"/>
        <v>👑 Top Modo</v>
      </c>
      <c r="AB27" s="14" t="str">
        <f>IFERROR(__xludf.DUMMYFUNCTION("IF(AND(E27=""Pas là"", F27=""Pas là""), ""―"", SPARKLINE({IF(E27=""Active beaucoup"",3,IF(E27=""Active un peu"",2,IF(E27=""Absence justifiée"",1,0))),IF(F27=""Active beaucoup"",3,IF(F27=""Active un peu"",2,IF(F27=""Absence justifiée"",1,0)))}, {""charttyp"&amp;"e"",""column"";""color"",IF(Z27&gt;=5,""#10B981"",IF(Z27&gt;=3,""#3B82F6"",IF(Z27&gt;=0,""#F59E0B"",""#EF4444"")));""ymin"",0;""ymax"",3}))"),"")</f>
        <v/>
      </c>
      <c r="AC27" s="19" t="str">
        <f>IFERROR(__xludf.DUMMYFUNCTION("AI(""Remplis une valeur appropriée pour cette cellule en fonction du contexte de la table"")"),"Actif")</f>
        <v>Actif</v>
      </c>
    </row>
    <row r="28" ht="21.0" customHeight="1">
      <c r="A28" s="4" t="s">
        <v>60</v>
      </c>
      <c r="B28" s="5"/>
      <c r="C28" s="5"/>
      <c r="D28" s="5"/>
      <c r="E28" s="5" t="s">
        <v>33</v>
      </c>
      <c r="F28" s="5" t="s">
        <v>32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7">
        <f t="shared" si="1"/>
        <v>0</v>
      </c>
      <c r="V28" s="7">
        <f t="shared" si="2"/>
        <v>0</v>
      </c>
      <c r="W28" s="7">
        <f t="shared" si="3"/>
        <v>1</v>
      </c>
      <c r="X28" s="7">
        <f t="shared" si="4"/>
        <v>1</v>
      </c>
      <c r="Y28" s="8">
        <f t="shared" si="5"/>
        <v>1</v>
      </c>
      <c r="Z28" s="9">
        <f t="shared" si="6"/>
        <v>4</v>
      </c>
      <c r="AA28" s="10" t="str">
        <f t="shared" si="7"/>
        <v>⭐ Modo Actif</v>
      </c>
      <c r="AB28" s="6" t="str">
        <f>IFERROR(__xludf.DUMMYFUNCTION("IF(AND(E28=""Pas là"", F28=""Pas là""), ""―"", SPARKLINE({IF(E28=""Active beaucoup"",3,IF(E28=""Active un peu"",2,IF(E28=""Absence justifiée"",1,0))),IF(F28=""Active beaucoup"",3,IF(F28=""Active un peu"",2,IF(F28=""Absence justifiée"",1,0)))}, {""charttyp"&amp;"e"",""column"";""color"",IF(Z28&gt;=5,""#10B981"",IF(Z28&gt;=3,""#3B82F6"",IF(Z28&gt;=0,""#F59E0B"",""#EF4444"")));""ymin"",0;""ymax"",3}))"),"")</f>
        <v/>
      </c>
      <c r="AC28" s="11" t="str">
        <f>IFERROR(__xludf.DUMMYFUNCTION("AI(""Remplis une valeur appropriée pour cette cellule en fonction du contexte de la table"")"),"Actif")</f>
        <v>Actif</v>
      </c>
    </row>
    <row r="29" ht="21.0" customHeight="1">
      <c r="A29" s="12" t="s">
        <v>61</v>
      </c>
      <c r="B29" s="13"/>
      <c r="C29" s="13"/>
      <c r="D29" s="13"/>
      <c r="E29" s="13" t="s">
        <v>32</v>
      </c>
      <c r="F29" s="13" t="s">
        <v>33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5">
        <f t="shared" si="1"/>
        <v>0</v>
      </c>
      <c r="V29" s="15">
        <f t="shared" si="2"/>
        <v>0</v>
      </c>
      <c r="W29" s="15">
        <f t="shared" si="3"/>
        <v>1</v>
      </c>
      <c r="X29" s="15">
        <f t="shared" si="4"/>
        <v>1</v>
      </c>
      <c r="Y29" s="16">
        <f t="shared" si="5"/>
        <v>1</v>
      </c>
      <c r="Z29" s="17">
        <f t="shared" si="6"/>
        <v>4</v>
      </c>
      <c r="AA29" s="18" t="str">
        <f t="shared" si="7"/>
        <v>⭐ Modo Actif</v>
      </c>
      <c r="AB29" s="14" t="str">
        <f>IFERROR(__xludf.DUMMYFUNCTION("IF(AND(E29=""Pas là"", F29=""Pas là""), ""―"", SPARKLINE({IF(E29=""Active beaucoup"",3,IF(E29=""Active un peu"",2,IF(E29=""Absence justifiée"",1,0))),IF(F29=""Active beaucoup"",3,IF(F29=""Active un peu"",2,IF(F29=""Absence justifiée"",1,0)))}, {""charttyp"&amp;"e"",""column"";""color"",IF(Z29&gt;=5,""#10B981"",IF(Z29&gt;=3,""#3B82F6"",IF(Z29&gt;=0,""#F59E0B"",""#EF4444"")));""ymin"",0;""ymax"",3}))"),"")</f>
        <v/>
      </c>
      <c r="AC29" s="19" t="str">
        <f>IFERROR(__xludf.DUMMYFUNCTION("AI(""Remplis une valeur appropriée pour cette cellule en fonction du contexte de la table"")"),"En observation")</f>
        <v>En observation</v>
      </c>
    </row>
    <row r="30" ht="21.0" customHeight="1">
      <c r="A30" s="4" t="s">
        <v>62</v>
      </c>
      <c r="B30" s="5"/>
      <c r="C30" s="5"/>
      <c r="D30" s="5"/>
      <c r="E30" s="5" t="s">
        <v>30</v>
      </c>
      <c r="F30" s="5" t="s">
        <v>33</v>
      </c>
      <c r="G30" s="5"/>
      <c r="H30" s="5"/>
      <c r="I30" s="5" t="s">
        <v>37</v>
      </c>
      <c r="J30" s="5" t="s">
        <v>37</v>
      </c>
      <c r="K30" s="5" t="s">
        <v>37</v>
      </c>
      <c r="L30" s="5" t="s">
        <v>37</v>
      </c>
      <c r="M30" s="5"/>
      <c r="N30" s="5"/>
      <c r="O30" s="5"/>
      <c r="P30" s="5"/>
      <c r="Q30" s="5"/>
      <c r="R30" s="5"/>
      <c r="S30" s="5"/>
      <c r="T30" s="5"/>
      <c r="U30" s="7">
        <f t="shared" si="1"/>
        <v>1</v>
      </c>
      <c r="V30" s="7">
        <f t="shared" si="2"/>
        <v>0</v>
      </c>
      <c r="W30" s="7">
        <f t="shared" si="3"/>
        <v>0</v>
      </c>
      <c r="X30" s="7">
        <f t="shared" si="4"/>
        <v>1</v>
      </c>
      <c r="Y30" s="8">
        <f t="shared" si="5"/>
        <v>0.5</v>
      </c>
      <c r="Z30" s="9">
        <f t="shared" si="6"/>
        <v>2</v>
      </c>
      <c r="AA30" s="10" t="str">
        <f t="shared" si="7"/>
        <v>🔎 En observation</v>
      </c>
      <c r="AB30" s="6" t="str">
        <f>IFERROR(__xludf.DUMMYFUNCTION("IF(AND(E30=""Pas là"", F30=""Pas là""), ""―"", SPARKLINE({IF(E30=""Active beaucoup"",3,IF(E30=""Active un peu"",2,IF(E30=""Absence justifiée"",1,0))),IF(F30=""Active beaucoup"",3,IF(F30=""Active un peu"",2,IF(F30=""Absence justifiée"",1,0)))}, {""charttyp"&amp;"e"",""column"";""color"",IF(Z30&gt;=5,""#10B981"",IF(Z30&gt;=3,""#3B82F6"",IF(Z30&gt;=0,""#F59E0B"",""#EF4444"")));""ymin"",0;""ymax"",3}))"),"")</f>
        <v/>
      </c>
      <c r="AC30" s="11" t="str">
        <f>IFERROR(__xludf.DUMMYFUNCTION("AI(""Remplis une valeur appropriée pour cette cellule en fonction du contexte de la table"")"),"En observation")</f>
        <v>En observation</v>
      </c>
    </row>
    <row r="31" ht="21.0" customHeight="1">
      <c r="A31" s="12" t="s">
        <v>63</v>
      </c>
      <c r="B31" s="13"/>
      <c r="C31" s="13"/>
      <c r="D31" s="13"/>
      <c r="E31" s="13" t="s">
        <v>32</v>
      </c>
      <c r="F31" s="13" t="s">
        <v>32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5">
        <f t="shared" si="1"/>
        <v>0</v>
      </c>
      <c r="V31" s="15">
        <f t="shared" si="2"/>
        <v>0</v>
      </c>
      <c r="W31" s="15">
        <f t="shared" si="3"/>
        <v>2</v>
      </c>
      <c r="X31" s="15">
        <f t="shared" si="4"/>
        <v>0</v>
      </c>
      <c r="Y31" s="16">
        <f t="shared" si="5"/>
        <v>1</v>
      </c>
      <c r="Z31" s="17">
        <f t="shared" si="6"/>
        <v>2</v>
      </c>
      <c r="AA31" s="18" t="str">
        <f t="shared" si="7"/>
        <v>🔎 En observation</v>
      </c>
      <c r="AB31" s="14" t="str">
        <f>IFERROR(__xludf.DUMMYFUNCTION("IF(AND(E31=""Pas là"", F31=""Pas là""), ""―"", SPARKLINE({IF(E31=""Active beaucoup"",3,IF(E31=""Active un peu"",2,IF(E31=""Absence justifiée"",1,0))),IF(F31=""Active beaucoup"",3,IF(F31=""Active un peu"",2,IF(F31=""Absence justifiée"",1,0)))}, {""charttyp"&amp;"e"",""column"";""color"",IF(Z31&gt;=5,""#10B981"",IF(Z31&gt;=3,""#3B82F6"",IF(Z31&gt;=0,""#F59E0B"",""#EF4444"")));""ymin"",0;""ymax"",3}))"),"")</f>
        <v/>
      </c>
      <c r="AC31" s="19" t="str">
        <f>IFERROR(__xludf.DUMMYFUNCTION("AI(""Remplis une valeur appropriée pour cette cellule en fonction du contexte de la table"")"),"En observation")</f>
        <v>En observation</v>
      </c>
    </row>
    <row r="32" ht="21.0" customHeight="1">
      <c r="A32" s="4" t="s">
        <v>64</v>
      </c>
      <c r="B32" s="5"/>
      <c r="C32" s="5"/>
      <c r="D32" s="5"/>
      <c r="E32" s="5" t="s">
        <v>32</v>
      </c>
      <c r="F32" s="5" t="s">
        <v>30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7">
        <f t="shared" si="1"/>
        <v>1</v>
      </c>
      <c r="V32" s="7">
        <f t="shared" si="2"/>
        <v>0</v>
      </c>
      <c r="W32" s="7">
        <f t="shared" si="3"/>
        <v>1</v>
      </c>
      <c r="X32" s="7">
        <f t="shared" si="4"/>
        <v>0</v>
      </c>
      <c r="Y32" s="8">
        <f t="shared" si="5"/>
        <v>0.5</v>
      </c>
      <c r="Z32" s="9">
        <f t="shared" si="6"/>
        <v>0</v>
      </c>
      <c r="AA32" s="10" t="str">
        <f t="shared" si="7"/>
        <v>🔎 En observation</v>
      </c>
      <c r="AB32" s="6" t="str">
        <f>IFERROR(__xludf.DUMMYFUNCTION("IF(AND(E32=""Pas là"", F32=""Pas là""), ""―"", SPARKLINE({IF(E32=""Active beaucoup"",3,IF(E32=""Active un peu"",2,IF(E32=""Absence justifiée"",1,0))),IF(F32=""Active beaucoup"",3,IF(F32=""Active un peu"",2,IF(F32=""Absence justifiée"",1,0)))}, {""charttyp"&amp;"e"",""column"";""color"",IF(Z32&gt;=5,""#10B981"",IF(Z32&gt;=3,""#3B82F6"",IF(Z32&gt;=0,""#F59E0B"",""#EF4444"")));""ymin"",0;""ymax"",3}))"),"")</f>
        <v/>
      </c>
      <c r="AC32" s="11" t="str">
        <f>IFERROR(__xludf.DUMMYFUNCTION("AI(""Remplis une valeur appropriée pour cette cellule en fonction du contexte de la table"")"),"En observation")</f>
        <v>En observation</v>
      </c>
    </row>
    <row r="33" ht="21.0" customHeight="1">
      <c r="A33" s="12" t="s">
        <v>65</v>
      </c>
      <c r="B33" s="13"/>
      <c r="C33" s="13"/>
      <c r="D33" s="13"/>
      <c r="E33" s="13" t="s">
        <v>30</v>
      </c>
      <c r="F33" s="13" t="s">
        <v>32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5">
        <f t="shared" si="1"/>
        <v>1</v>
      </c>
      <c r="V33" s="15">
        <f t="shared" si="2"/>
        <v>0</v>
      </c>
      <c r="W33" s="15">
        <f t="shared" si="3"/>
        <v>1</v>
      </c>
      <c r="X33" s="15">
        <f t="shared" si="4"/>
        <v>0</v>
      </c>
      <c r="Y33" s="16">
        <f t="shared" si="5"/>
        <v>0.5</v>
      </c>
      <c r="Z33" s="17">
        <f t="shared" si="6"/>
        <v>0</v>
      </c>
      <c r="AA33" s="18" t="str">
        <f t="shared" si="7"/>
        <v>🔎 En observation</v>
      </c>
      <c r="AB33" s="14" t="str">
        <f>IFERROR(__xludf.DUMMYFUNCTION("IF(AND(E33=""Pas là"", F33=""Pas là""), ""―"", SPARKLINE({IF(E33=""Active beaucoup"",3,IF(E33=""Active un peu"",2,IF(E33=""Absence justifiée"",1,0))),IF(F33=""Active beaucoup"",3,IF(F33=""Active un peu"",2,IF(F33=""Absence justifiée"",1,0)))}, {""charttyp"&amp;"e"",""column"";""color"",IF(Z33&gt;=5,""#10B981"",IF(Z33&gt;=3,""#3B82F6"",IF(Z33&gt;=0,""#F59E0B"",""#EF4444"")));""ymin"",0;""ymax"",3}))"),"")</f>
        <v/>
      </c>
      <c r="AC33" s="19" t="str">
        <f>IFERROR(__xludf.DUMMYFUNCTION("AI(""Remplis une valeur appropriée pour cette cellule en fonction du contexte de la table"")"),"Peu actif")</f>
        <v>Peu actif</v>
      </c>
    </row>
    <row r="34" ht="21.0" customHeight="1">
      <c r="A34" s="4" t="s">
        <v>66</v>
      </c>
      <c r="B34" s="5"/>
      <c r="C34" s="5"/>
      <c r="D34" s="5"/>
      <c r="E34" s="5" t="s">
        <v>30</v>
      </c>
      <c r="F34" s="5" t="s">
        <v>32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7">
        <f t="shared" si="1"/>
        <v>1</v>
      </c>
      <c r="V34" s="7">
        <f t="shared" si="2"/>
        <v>0</v>
      </c>
      <c r="W34" s="7">
        <f t="shared" si="3"/>
        <v>1</v>
      </c>
      <c r="X34" s="7">
        <f t="shared" si="4"/>
        <v>0</v>
      </c>
      <c r="Y34" s="8">
        <f t="shared" si="5"/>
        <v>0.5</v>
      </c>
      <c r="Z34" s="9">
        <f t="shared" si="6"/>
        <v>0</v>
      </c>
      <c r="AA34" s="10" t="str">
        <f t="shared" si="7"/>
        <v>🔎 En observation</v>
      </c>
      <c r="AB34" s="6" t="str">
        <f>IFERROR(__xludf.DUMMYFUNCTION("IF(AND(E34=""Pas là"", F34=""Pas là""), ""―"", SPARKLINE({IF(E34=""Active beaucoup"",3,IF(E34=""Active un peu"",2,IF(E34=""Absence justifiée"",1,0))),IF(F34=""Active beaucoup"",3,IF(F34=""Active un peu"",2,IF(F34=""Absence justifiée"",1,0)))}, {""charttyp"&amp;"e"",""column"";""color"",IF(Z34&gt;=5,""#10B981"",IF(Z34&gt;=3,""#3B82F6"",IF(Z34&gt;=0,""#F59E0B"",""#EF4444"")));""ymin"",0;""ymax"",3}))"),"")</f>
        <v/>
      </c>
      <c r="AC34" s="11" t="str">
        <f>IFERROR(__xludf.DUMMYFUNCTION("AI(""Remplis une valeur appropriée pour cette cellule en fonction du contexte de la table"")"),"Inactif")</f>
        <v>Inactif</v>
      </c>
    </row>
    <row r="35" ht="21.0" customHeight="1">
      <c r="A35" s="12" t="s">
        <v>67</v>
      </c>
      <c r="B35" s="13"/>
      <c r="C35" s="13"/>
      <c r="D35" s="13"/>
      <c r="E35" s="13" t="s">
        <v>32</v>
      </c>
      <c r="F35" s="13" t="s">
        <v>37</v>
      </c>
      <c r="G35" s="13" t="s">
        <v>37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5">
        <f t="shared" si="1"/>
        <v>0</v>
      </c>
      <c r="V35" s="15">
        <f t="shared" si="2"/>
        <v>1</v>
      </c>
      <c r="W35" s="15">
        <f t="shared" si="3"/>
        <v>1</v>
      </c>
      <c r="X35" s="15">
        <f t="shared" si="4"/>
        <v>0</v>
      </c>
      <c r="Y35" s="16">
        <f t="shared" si="5"/>
        <v>1</v>
      </c>
      <c r="Z35" s="17">
        <f t="shared" si="6"/>
        <v>1</v>
      </c>
      <c r="AA35" s="18" t="str">
        <f t="shared" si="7"/>
        <v>🔎 En observation</v>
      </c>
      <c r="AB35" s="14" t="str">
        <f>IFERROR(__xludf.DUMMYFUNCTION("IF(AND(E35=""Pas là"", F35=""Pas là""), ""―"", SPARKLINE({IF(E35=""Active beaucoup"",3,IF(E35=""Active un peu"",2,IF(E35=""Absence justifiée"",1,0))),IF(F35=""Active beaucoup"",3,IF(F35=""Active un peu"",2,IF(F35=""Absence justifiée"",1,0)))}, {""charttyp"&amp;"e"",""column"";""color"",IF(Z35&gt;=5,""#10B981"",IF(Z35&gt;=3,""#3B82F6"",IF(Z35&gt;=0,""#F59E0B"",""#EF4444"")));""ymin"",0;""ymax"",3}))"),"")</f>
        <v/>
      </c>
      <c r="AC35" s="19" t="str">
        <f>IFERROR(__xludf.DUMMYFUNCTION("AI(""Remplis une valeur appropriée pour cette cellule en fonction du contexte de la table"")"),"Inactif")</f>
        <v>Inactif</v>
      </c>
    </row>
    <row r="36" ht="21.0" customHeight="1">
      <c r="A36" s="4" t="s">
        <v>68</v>
      </c>
      <c r="B36" s="5"/>
      <c r="C36" s="5"/>
      <c r="D36" s="5"/>
      <c r="E36" s="5" t="s">
        <v>32</v>
      </c>
      <c r="F36" s="5" t="s">
        <v>30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7">
        <f t="shared" si="1"/>
        <v>1</v>
      </c>
      <c r="V36" s="7">
        <f t="shared" si="2"/>
        <v>0</v>
      </c>
      <c r="W36" s="7">
        <f t="shared" si="3"/>
        <v>1</v>
      </c>
      <c r="X36" s="7">
        <f t="shared" si="4"/>
        <v>0</v>
      </c>
      <c r="Y36" s="8">
        <f t="shared" si="5"/>
        <v>0.5</v>
      </c>
      <c r="Z36" s="9">
        <f t="shared" si="6"/>
        <v>0</v>
      </c>
      <c r="AA36" s="10" t="str">
        <f t="shared" si="7"/>
        <v>🔎 En observation</v>
      </c>
      <c r="AB36" s="6" t="str">
        <f>IFERROR(__xludf.DUMMYFUNCTION("IF(AND(E36=""Pas là"", F36=""Pas là""), ""―"", SPARKLINE({IF(E36=""Active beaucoup"",3,IF(E36=""Active un peu"",2,IF(E36=""Absence justifiée"",1,0))),IF(F36=""Active beaucoup"",3,IF(F36=""Active un peu"",2,IF(F36=""Absence justifiée"",1,0)))}, {""charttyp"&amp;"e"",""column"";""color"",IF(Z36&gt;=5,""#10B981"",IF(Z36&gt;=3,""#3B82F6"",IF(Z36&gt;=0,""#F59E0B"",""#EF4444"")));""ymin"",0;""ymax"",3}))"),"")</f>
        <v/>
      </c>
      <c r="AC36" s="11" t="str">
        <f>IFERROR(__xludf.DUMMYFUNCTION("AI(""Remplis une valeur appropriée pour cette cellule en fonction du contexte de la table"")"),"Inactif")</f>
        <v>Inactif</v>
      </c>
    </row>
    <row r="37" ht="21.0" customHeight="1">
      <c r="A37" s="12" t="s">
        <v>69</v>
      </c>
      <c r="B37" s="13"/>
      <c r="C37" s="13"/>
      <c r="D37" s="13"/>
      <c r="E37" s="13" t="s">
        <v>30</v>
      </c>
      <c r="F37" s="13" t="s">
        <v>32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5">
        <f t="shared" si="1"/>
        <v>1</v>
      </c>
      <c r="V37" s="15">
        <f t="shared" si="2"/>
        <v>0</v>
      </c>
      <c r="W37" s="15">
        <f t="shared" si="3"/>
        <v>1</v>
      </c>
      <c r="X37" s="15">
        <f t="shared" si="4"/>
        <v>0</v>
      </c>
      <c r="Y37" s="16">
        <f t="shared" si="5"/>
        <v>0.5</v>
      </c>
      <c r="Z37" s="17">
        <f t="shared" si="6"/>
        <v>0</v>
      </c>
      <c r="AA37" s="18" t="str">
        <f t="shared" si="7"/>
        <v>🔎 En observation</v>
      </c>
      <c r="AB37" s="14" t="str">
        <f>IFERROR(__xludf.DUMMYFUNCTION("IF(AND(E37=""Pas là"", F37=""Pas là""), ""―"", SPARKLINE({IF(E37=""Active beaucoup"",3,IF(E37=""Active un peu"",2,IF(E37=""Absence justifiée"",1,0))),IF(F37=""Active beaucoup"",3,IF(F37=""Active un peu"",2,IF(F37=""Absence justifiée"",1,0)))}, {""charttyp"&amp;"e"",""column"";""color"",IF(Z37&gt;=5,""#10B981"",IF(Z37&gt;=3,""#3B82F6"",IF(Z37&gt;=0,""#F59E0B"",""#EF4444"")));""ymin"",0;""ymax"",3}))"),"")</f>
        <v/>
      </c>
      <c r="AC37" s="19" t="str">
        <f>IFERROR(__xludf.DUMMYFUNCTION("AI(""Remplis une valeur appropriée pour cette cellule en fonction du contexte de la table"")"),"Peu actif")</f>
        <v>Peu actif</v>
      </c>
    </row>
    <row r="38" ht="21.0" customHeight="1">
      <c r="A38" s="4" t="s">
        <v>70</v>
      </c>
      <c r="B38" s="5"/>
      <c r="C38" s="5"/>
      <c r="D38" s="5"/>
      <c r="E38" s="5" t="s">
        <v>30</v>
      </c>
      <c r="F38" s="5" t="s">
        <v>32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7">
        <f t="shared" si="1"/>
        <v>1</v>
      </c>
      <c r="V38" s="7">
        <f t="shared" si="2"/>
        <v>0</v>
      </c>
      <c r="W38" s="7">
        <f t="shared" si="3"/>
        <v>1</v>
      </c>
      <c r="X38" s="7">
        <f t="shared" si="4"/>
        <v>0</v>
      </c>
      <c r="Y38" s="8">
        <f t="shared" si="5"/>
        <v>0.5</v>
      </c>
      <c r="Z38" s="9">
        <f t="shared" si="6"/>
        <v>0</v>
      </c>
      <c r="AA38" s="10" t="str">
        <f t="shared" si="7"/>
        <v>🔎 En observation</v>
      </c>
      <c r="AB38" s="6" t="str">
        <f>IFERROR(__xludf.DUMMYFUNCTION("IF(AND(E38=""Pas là"", F38=""Pas là""), ""―"", SPARKLINE({IF(E38=""Active beaucoup"",3,IF(E38=""Active un peu"",2,IF(E38=""Absence justifiée"",1,0))),IF(F38=""Active beaucoup"",3,IF(F38=""Active un peu"",2,IF(F38=""Absence justifiée"",1,0)))}, {""charttyp"&amp;"e"",""column"";""color"",IF(Z38&gt;=5,""#10B981"",IF(Z38&gt;=3,""#3B82F6"",IF(Z38&gt;=0,""#F59E0B"",""#EF4444"")));""ymin"",0;""ymax"",3}))"),"")</f>
        <v/>
      </c>
      <c r="AC38" s="11" t="str">
        <f>IFERROR(__xludf.DUMMYFUNCTION("AI(""Remplis une valeur appropriée pour cette cellule en fonction du contexte de la table"")"),"Inactif")</f>
        <v>Inactif</v>
      </c>
    </row>
    <row r="39" ht="21.0" customHeight="1">
      <c r="A39" s="22" t="s">
        <v>71</v>
      </c>
      <c r="B39" s="23" t="s">
        <v>37</v>
      </c>
      <c r="C39" s="23" t="s">
        <v>37</v>
      </c>
      <c r="D39" s="23" t="s">
        <v>37</v>
      </c>
      <c r="E39" s="23" t="s">
        <v>30</v>
      </c>
      <c r="F39" s="23" t="s">
        <v>32</v>
      </c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4">
        <f t="shared" si="1"/>
        <v>1</v>
      </c>
      <c r="V39" s="24">
        <f t="shared" si="2"/>
        <v>0</v>
      </c>
      <c r="W39" s="24">
        <f t="shared" si="3"/>
        <v>1</v>
      </c>
      <c r="X39" s="24">
        <f t="shared" si="4"/>
        <v>0</v>
      </c>
      <c r="Y39" s="25">
        <f t="shared" si="5"/>
        <v>0.5</v>
      </c>
      <c r="Z39" s="26">
        <f t="shared" si="6"/>
        <v>0</v>
      </c>
      <c r="AA39" s="27" t="str">
        <f t="shared" si="7"/>
        <v>🔎 En observation</v>
      </c>
      <c r="AB39" s="28" t="str">
        <f>IFERROR(__xludf.DUMMYFUNCTION("IF(AND(E39=""Pas là"", F39=""Pas là""), ""―"", SPARKLINE({IF(E39=""Active beaucoup"",3,IF(E39=""Active un peu"",2,IF(E39=""Absence justifiée"",1,0))),IF(F39=""Active beaucoup"",3,IF(F39=""Active un peu"",2,IF(F39=""Absence justifiée"",1,0)))}, {""charttyp"&amp;"e"",""column"";""color"",IF(Z39&gt;=5,""#10B981"",IF(Z39&gt;=3,""#3B82F6"",IF(Z39&gt;=0,""#F59E0B"",""#EF4444"")));""ymin"",0;""ymax"",3}))"),"")</f>
        <v/>
      </c>
      <c r="AC39" s="29" t="str">
        <f>IFERROR(__xludf.DUMMYFUNCTION("AI(""Remplis une valeur appropriée pour cette cellule en fonction du contexte de la table"")"),"Peu actif")</f>
        <v>Peu actif</v>
      </c>
    </row>
    <row r="40" ht="15.0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1"/>
    </row>
    <row r="41" ht="19.5" customHeight="1">
      <c r="A41" s="32" t="s">
        <v>72</v>
      </c>
      <c r="B41" s="33" t="s">
        <v>73</v>
      </c>
      <c r="C41" s="34"/>
      <c r="D41" s="35" t="s">
        <v>74</v>
      </c>
      <c r="E41" s="30"/>
      <c r="F41" s="36" t="s">
        <v>75</v>
      </c>
      <c r="G41" s="37"/>
      <c r="H41" s="38"/>
      <c r="I41" s="39" t="s">
        <v>76</v>
      </c>
      <c r="J41" s="40"/>
      <c r="K41" s="41"/>
      <c r="L41" s="42" t="s">
        <v>77</v>
      </c>
      <c r="M41" s="43"/>
      <c r="N41" s="44"/>
      <c r="O41" s="45" t="s">
        <v>78</v>
      </c>
      <c r="P41" s="46"/>
      <c r="Q41" s="47"/>
      <c r="R41" s="48" t="s">
        <v>79</v>
      </c>
      <c r="S41" s="49"/>
      <c r="T41" s="50"/>
      <c r="U41" s="30"/>
      <c r="V41" s="30"/>
      <c r="W41" s="30"/>
      <c r="X41" s="30"/>
      <c r="Y41" s="30"/>
      <c r="Z41" s="30"/>
      <c r="AA41" s="30"/>
      <c r="AB41" s="30"/>
      <c r="AC41" s="30"/>
    </row>
    <row r="42" ht="16.5" customHeight="1">
      <c r="A42" s="51" t="s">
        <v>80</v>
      </c>
      <c r="B42" s="52" t="str">
        <f>IFERROR(__xludf.DUMMYFUNCTION("INDEX(SORT(FILTER(A$2:Z$39, NOT(ISNUMBER(SEARCH(""Retirée"", A$2:A$39)))), 26, FALSE, 25, FALSE), 1, 1)"),"AyssAFK")</f>
        <v>AyssAFK</v>
      </c>
      <c r="C42" s="53"/>
      <c r="D42" s="54">
        <f>IFERROR(__xludf.DUMMYFUNCTION("INDEX(SORT(FILTER(A$2:Z$39, NOT(ISNUMBER(SEARCH(""Retirée"", A$2:A$39)))), 26, FALSE, 25, FALSE), 1, 26)"),6.0)</f>
        <v>6</v>
      </c>
      <c r="E42" s="30"/>
      <c r="F42" s="55">
        <f>IFERROR(__xludf.DUMMYFUNCTION("AVERAGE(FILTER(Y2:Y39, NOT(ISNUMBER(SEARCH(""Retirée"", A2:A39)))))"),0.5540540540540541)</f>
        <v>0.5540540541</v>
      </c>
      <c r="G42" s="56"/>
      <c r="H42" s="57"/>
      <c r="I42" s="58">
        <f>IFERROR(__xludf.DUMMYFUNCTION("AVERAGE(FILTER(Z2:Z39, NOT(ISNUMBER(SEARCH(""Retirée"", A2:A39)))))"),1.2972972972972974)</f>
        <v>1.297297297</v>
      </c>
      <c r="J42" s="56"/>
      <c r="K42" s="59"/>
      <c r="L42" s="60">
        <f>COUNTIF(AA2:AA39, "*Top Modo*") + COUNTIF(AA2:AA39, "*Modo Actif*")</f>
        <v>12</v>
      </c>
      <c r="M42" s="61"/>
      <c r="N42" s="62"/>
      <c r="O42" s="63">
        <f>COUNTIF(AA2:AA39, "*Danger*")</f>
        <v>11</v>
      </c>
      <c r="P42" s="64"/>
      <c r="Q42" s="65"/>
      <c r="R42" s="66">
        <f>COUNTA(A2:A39) - COUNTIF(A2:A39, "*Retirée*")</f>
        <v>37</v>
      </c>
      <c r="S42" s="56"/>
      <c r="T42" s="67"/>
      <c r="U42" s="30"/>
      <c r="V42" s="30"/>
      <c r="W42" s="30"/>
      <c r="X42" s="30"/>
      <c r="Y42" s="30"/>
      <c r="Z42" s="30"/>
      <c r="AA42" s="30"/>
      <c r="AB42" s="30"/>
      <c r="AC42" s="30"/>
    </row>
    <row r="43" ht="16.5" customHeight="1">
      <c r="A43" s="51" t="s">
        <v>81</v>
      </c>
      <c r="B43" s="52" t="str">
        <f>IFERROR(__xludf.DUMMYFUNCTION("INDEX(SORT(FILTER(A$2:Z$39, NOT(ISNUMBER(SEARCH(""Retirée"", A$2:A$39)))), 26, FALSE, 25, FALSE), 2, 1)"),"jawad_4k")</f>
        <v>jawad_4k</v>
      </c>
      <c r="C43" s="53"/>
      <c r="D43" s="54">
        <f>IFERROR(__xludf.DUMMYFUNCTION("INDEX(SORT(FILTER(A$2:Z$39, NOT(ISNUMBER(SEARCH(""Retirée"", A$2:A$39)))), 26, FALSE, 25, FALSE), 2, 26)"),6.0)</f>
        <v>6</v>
      </c>
      <c r="E43" s="30"/>
      <c r="F43" s="68"/>
      <c r="G43" s="69"/>
      <c r="H43" s="70"/>
      <c r="I43" s="71"/>
      <c r="J43" s="69"/>
      <c r="K43" s="72"/>
      <c r="L43" s="73"/>
      <c r="M43" s="74"/>
      <c r="N43" s="75"/>
      <c r="O43" s="76"/>
      <c r="P43" s="77"/>
      <c r="Q43" s="78"/>
      <c r="R43" s="79"/>
      <c r="S43" s="69"/>
      <c r="T43" s="80"/>
      <c r="U43" s="30"/>
      <c r="V43" s="30"/>
      <c r="W43" s="30"/>
      <c r="X43" s="30"/>
      <c r="Y43" s="30"/>
      <c r="Z43" s="30"/>
      <c r="AA43" s="30"/>
      <c r="AB43" s="30"/>
      <c r="AC43" s="30"/>
    </row>
    <row r="44" ht="16.5" customHeight="1">
      <c r="A44" s="81" t="s">
        <v>82</v>
      </c>
      <c r="B44" s="82" t="str">
        <f>IFERROR(__xludf.DUMMYFUNCTION("INDEX(SORT(FILTER(A$2:Z$39, NOT(ISNUMBER(SEARCH(""Retirée"", A$2:A$39)))), 26, FALSE, 25, FALSE), 3, 1)"),"uf_th3_dreamzz")</f>
        <v>uf_th3_dreamzz</v>
      </c>
      <c r="C44" s="83"/>
      <c r="D44" s="84">
        <f>IFERROR(__xludf.DUMMYFUNCTION("INDEX(SORT(FILTER(A$2:Z$39, NOT(ISNUMBER(SEARCH(""Retirée"", A$2:A$39)))), 26, FALSE, 25, FALSE), 3, 26)"),6.0)</f>
        <v>6</v>
      </c>
      <c r="E44" s="30"/>
      <c r="F44" s="85" t="s">
        <v>83</v>
      </c>
      <c r="G44" s="86"/>
      <c r="H44" s="87"/>
      <c r="I44" s="88" t="s">
        <v>84</v>
      </c>
      <c r="J44" s="89"/>
      <c r="K44" s="90"/>
      <c r="L44" s="91" t="s">
        <v>85</v>
      </c>
      <c r="M44" s="92"/>
      <c r="N44" s="93"/>
      <c r="O44" s="94" t="s">
        <v>86</v>
      </c>
      <c r="P44" s="95"/>
      <c r="Q44" s="96"/>
      <c r="R44" s="97" t="s">
        <v>87</v>
      </c>
      <c r="S44" s="98"/>
      <c r="T44" s="99"/>
      <c r="U44" s="30"/>
      <c r="V44" s="30"/>
      <c r="W44" s="30"/>
      <c r="X44" s="30"/>
      <c r="Y44" s="30"/>
      <c r="Z44" s="30"/>
      <c r="AA44" s="30"/>
      <c r="AB44" s="30"/>
      <c r="AC44" s="30"/>
    </row>
    <row r="45" ht="19.5" customHeight="1">
      <c r="A45" s="100"/>
      <c r="B45" s="101"/>
      <c r="C45" s="101"/>
      <c r="D45" s="10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</row>
    <row r="46" ht="19.5" customHeight="1">
      <c r="A46" s="102"/>
      <c r="B46" s="103"/>
      <c r="C46" s="103"/>
      <c r="D46" s="102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 ht="19.5" customHeight="1">
      <c r="A47" s="104"/>
      <c r="B47" s="105"/>
      <c r="C47" s="105"/>
      <c r="D47" s="104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>
      <c r="A50" s="30"/>
      <c r="B50" s="106"/>
      <c r="C50" s="106"/>
      <c r="D50" s="106"/>
      <c r="E50" s="106"/>
      <c r="F50" s="106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>
      <c r="A51" s="30"/>
      <c r="B51" s="107"/>
      <c r="C51" s="108"/>
      <c r="D51" s="109"/>
      <c r="E51" s="109"/>
      <c r="F51" s="109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</row>
    <row r="57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</row>
    <row r="58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</row>
    <row r="59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</row>
    <row r="60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</row>
    <row r="6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</row>
    <row r="62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</row>
    <row r="63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</row>
    <row r="64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</row>
    <row r="6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</row>
    <row r="66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</row>
  </sheetData>
  <mergeCells count="19">
    <mergeCell ref="B41:C41"/>
    <mergeCell ref="F41:H41"/>
    <mergeCell ref="I41:K41"/>
    <mergeCell ref="L41:N41"/>
    <mergeCell ref="O41:Q41"/>
    <mergeCell ref="R41:T41"/>
    <mergeCell ref="B42:C42"/>
    <mergeCell ref="F44:H44"/>
    <mergeCell ref="I44:K44"/>
    <mergeCell ref="L44:N44"/>
    <mergeCell ref="O44:Q44"/>
    <mergeCell ref="F42:H43"/>
    <mergeCell ref="I42:K43"/>
    <mergeCell ref="L42:N43"/>
    <mergeCell ref="O42:Q43"/>
    <mergeCell ref="R42:T43"/>
    <mergeCell ref="B43:C43"/>
    <mergeCell ref="B44:C44"/>
    <mergeCell ref="R44:T44"/>
  </mergeCells>
  <conditionalFormatting sqref="AA2:AA39">
    <cfRule type="containsText" dxfId="3" priority="1" stopIfTrue="1" operator="containsText" text="Top Modo">
      <formula>NOT(ISERROR(SEARCH(("Top Modo"),(AA2))))</formula>
    </cfRule>
  </conditionalFormatting>
  <conditionalFormatting sqref="AA2:AA39">
    <cfRule type="containsText" dxfId="4" priority="2" stopIfTrue="1" operator="containsText" text="Modo Actif">
      <formula>NOT(ISERROR(SEARCH(("Modo Actif"),(AA2))))</formula>
    </cfRule>
  </conditionalFormatting>
  <conditionalFormatting sqref="AA2:AA39">
    <cfRule type="containsText" dxfId="5" priority="3" stopIfTrue="1" operator="containsText" text="En observation">
      <formula>NOT(ISERROR(SEARCH(("En observation"),(AA2))))</formula>
    </cfRule>
  </conditionalFormatting>
  <conditionalFormatting sqref="AA2:AA39">
    <cfRule type="containsText" dxfId="6" priority="4" stopIfTrue="1" operator="containsText" text="Danger">
      <formula>NOT(ISERROR(SEARCH(("Danger"),(AA2))))</formula>
    </cfRule>
  </conditionalFormatting>
  <conditionalFormatting sqref="X2:X39">
    <cfRule type="colorScale" priority="5">
      <colorScale>
        <cfvo type="formula" val="0"/>
        <cfvo type="percentile" val="50"/>
        <cfvo type="max"/>
        <color rgb="FFF4F9F4"/>
        <color rgb="FFD1EDD3"/>
        <color rgb="FF8CD391"/>
      </colorScale>
    </cfRule>
  </conditionalFormatting>
  <conditionalFormatting sqref="B2:T39">
    <cfRule type="cellIs" dxfId="7" priority="6" stopIfTrue="1" operator="equal">
      <formula>"Active beaucoup"</formula>
    </cfRule>
  </conditionalFormatting>
  <conditionalFormatting sqref="B2:T39">
    <cfRule type="cellIs" dxfId="8" priority="7" stopIfTrue="1" operator="equal">
      <formula>"Active un peu"</formula>
    </cfRule>
  </conditionalFormatting>
  <conditionalFormatting sqref="B2:T39">
    <cfRule type="cellIs" dxfId="9" priority="8" stopIfTrue="1" operator="equal">
      <formula>"Pas là"</formula>
    </cfRule>
  </conditionalFormatting>
  <conditionalFormatting sqref="B2:T39">
    <cfRule type="cellIs" dxfId="10" priority="9" stopIfTrue="1" operator="equal">
      <formula>"Absence justifiée"</formula>
    </cfRule>
  </conditionalFormatting>
  <dataValidations>
    <dataValidation type="list" allowBlank="1" sqref="B2:T39">
      <formula1>"Active beaucoup,Active un peu,Pas là,Absence justifiée"</formula1>
    </dataValidation>
  </dataValidations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39EC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17.0"/>
    <col customWidth="1" min="3" max="3" width="15.75"/>
    <col customWidth="1" min="4" max="4" width="10.75"/>
    <col customWidth="1" min="5" max="5" width="15.75"/>
    <col customWidth="1" min="6" max="6" width="12.0"/>
    <col customWidth="1" min="7" max="7" width="14.5"/>
    <col customWidth="1" min="8" max="8" width="3.88"/>
    <col customWidth="1" min="9" max="9" width="20.75"/>
    <col customWidth="1" min="10" max="10" width="17.63"/>
    <col customWidth="1" min="11" max="13" width="12.63"/>
    <col customWidth="1" min="14" max="14" width="17.0"/>
    <col customWidth="1" min="15" max="15" width="3.88"/>
  </cols>
  <sheetData>
    <row r="1" ht="25.5" customHeight="1">
      <c r="A1" s="111"/>
      <c r="B1" s="112" t="s">
        <v>88</v>
      </c>
      <c r="O1" s="111"/>
      <c r="P1" s="113" t="s">
        <v>89</v>
      </c>
      <c r="Q1" s="113" t="s">
        <v>25</v>
      </c>
      <c r="R1" s="111"/>
      <c r="S1" s="113" t="s">
        <v>26</v>
      </c>
      <c r="T1" s="113" t="s">
        <v>90</v>
      </c>
    </row>
    <row r="2" ht="16.5" customHeight="1">
      <c r="A2" s="111"/>
      <c r="B2" s="114" t="s">
        <v>91</v>
      </c>
      <c r="O2" s="111"/>
      <c r="P2" s="111" t="str">
        <f>IFERROR(__xludf.DUMMYFUNCTION("INDEX(SORT(FILTER('Feuille 1'!A2:A39, NOT(ISNUMBER(SEARCH(""Retirée"", 'Feuille 1'!A2:A39)))), FILTER('Feuille 1'!Z2:Z39, NOT(ISNUMBER(SEARCH(""Retirée"", 'Feuille 1'!A2:A39)))), FALSE, FILTER('Feuille 1'!Y2:Y39, NOT(ISNUMBER(SEARCH(""Retirée"", 'Feuille "&amp;"1'!A2:A39)))), FALSE), 1)"),"AyssAFK")</f>
        <v>AyssAFK</v>
      </c>
      <c r="Q2" s="111">
        <f>IFERROR(__xludf.DUMMYFUNCTION("INDEX(SORT(FILTER('Feuille 1'!Z2:Z39, NOT(ISNUMBER(SEARCH(""Retirée"", 'Feuille 1'!A2:A39)))), FILTER('Feuille 1'!Z2:Z39, NOT(ISNUMBER(SEARCH(""Retirée"", 'Feuille 1'!A2:A39)))), FALSE, FILTER('Feuille 1'!Y2:Y39, NOT(ISNUMBER(SEARCH(""Retirée"", 'Feuille "&amp;"1'!A2:A39)))), FALSE), 1)"),6.0)</f>
        <v>6</v>
      </c>
      <c r="R2" s="111"/>
      <c r="S2" s="113" t="s">
        <v>92</v>
      </c>
      <c r="T2" s="111">
        <f>COUNTIF('Feuille 1'!AA2:AA39, "👑 Top Modo")</f>
        <v>5</v>
      </c>
    </row>
    <row r="3" ht="19.5" customHeight="1">
      <c r="A3" s="111"/>
      <c r="B3" s="115" t="s">
        <v>93</v>
      </c>
      <c r="C3" s="116"/>
      <c r="D3" s="117" t="s">
        <v>94</v>
      </c>
      <c r="E3" s="118"/>
      <c r="F3" s="119" t="s">
        <v>95</v>
      </c>
      <c r="G3" s="120"/>
      <c r="H3" s="121" t="s">
        <v>96</v>
      </c>
      <c r="I3" s="122"/>
      <c r="J3" s="123" t="s">
        <v>97</v>
      </c>
      <c r="K3" s="124"/>
      <c r="L3" s="125" t="s">
        <v>98</v>
      </c>
      <c r="M3" s="126"/>
      <c r="N3" s="127"/>
      <c r="O3" s="111"/>
      <c r="P3" s="111" t="str">
        <f>IFERROR(__xludf.DUMMYFUNCTION("INDEX(SORT(FILTER('Feuille 1'!A2:A39, NOT(ISNUMBER(SEARCH(""Retirée"", 'Feuille 1'!A2:A39)))), FILTER('Feuille 1'!Z2:Z39, NOT(ISNUMBER(SEARCH(""Retirée"", 'Feuille 1'!A2:A39)))), FALSE, FILTER('Feuille 1'!Y2:Y39, NOT(ISNUMBER(SEARCH(""Retirée"", 'Feuille "&amp;"1'!A2:A39)))), FALSE), 2)"),"jawad_4k")</f>
        <v>jawad_4k</v>
      </c>
      <c r="Q3" s="111">
        <f>IFERROR(__xludf.DUMMYFUNCTION("INDEX(SORT(FILTER('Feuille 1'!Z2:Z39, NOT(ISNUMBER(SEARCH(""Retirée"", 'Feuille 1'!A2:A39)))), FILTER('Feuille 1'!Z2:Z39, NOT(ISNUMBER(SEARCH(""Retirée"", 'Feuille 1'!A2:A39)))), FALSE, FILTER('Feuille 1'!Y2:Y39, NOT(ISNUMBER(SEARCH(""Retirée"", 'Feuille "&amp;"1'!A2:A39)))), FALSE), 2)"),6.0)</f>
        <v>6</v>
      </c>
      <c r="R3" s="111"/>
      <c r="S3" s="113" t="s">
        <v>99</v>
      </c>
      <c r="T3" s="111">
        <f>COUNTIF('Feuille 1'!AA2:AA39, "⭐ Modo Actif")</f>
        <v>7</v>
      </c>
    </row>
    <row r="4" ht="25.5" customHeight="1">
      <c r="A4" s="111"/>
      <c r="B4" s="128">
        <f>COUNTA('Feuille 1'!A2:A39) - COUNTIF('Feuille 1'!A2:A39, "*Retirée*")</f>
        <v>37</v>
      </c>
      <c r="C4" s="129"/>
      <c r="D4" s="130">
        <f>IFERROR(__xludf.DUMMYFUNCTION("AVERAGE(FILTER('Feuille 1'!Y2:Y39, NOT(ISNUMBER(SEARCH(""Retirée"", 'Feuille 1'!A2:A39)))))"),0.5540540540540541)</f>
        <v>0.5540540541</v>
      </c>
      <c r="E4" s="131"/>
      <c r="F4" s="132">
        <f>COUNTIF('Feuille 1'!AA2:AA39, "*Top Modo*") + COUNTIF('Feuille 1'!AA2:AA39, "*Modo Actif*")</f>
        <v>12</v>
      </c>
      <c r="G4" s="133"/>
      <c r="H4" s="134">
        <f>COUNTIF('Feuille 1'!AA2:AA39, "*Danger*")</f>
        <v>11</v>
      </c>
      <c r="I4" s="135"/>
      <c r="J4" s="136">
        <f>IFERROR(__xludf.DUMMYFUNCTION("AVERAGE(FILTER('Feuille 1'!Z2:Z39, NOT(ISNUMBER(SEARCH(""Retirée"", 'Feuille 1'!A2:A39)))))"),1.2972972972972974)</f>
        <v>1.297297297</v>
      </c>
      <c r="K4" s="137"/>
      <c r="L4" s="138">
        <f>'Actions Modération'!E44</f>
        <v>784</v>
      </c>
      <c r="N4" s="139"/>
      <c r="O4" s="111"/>
      <c r="P4" s="111" t="str">
        <f>IFERROR(__xludf.DUMMYFUNCTION("INDEX(SORT(FILTER('Feuille 1'!A2:A39, NOT(ISNUMBER(SEARCH(""Retirée"", 'Feuille 1'!A2:A39)))), FILTER('Feuille 1'!Z2:Z39, NOT(ISNUMBER(SEARCH(""Retirée"", 'Feuille 1'!A2:A39)))), FALSE, FILTER('Feuille 1'!Y2:Y39, NOT(ISNUMBER(SEARCH(""Retirée"", 'Feuille "&amp;"1'!A2:A39)))), FALSE), 3)"),"uf_th3_dreamzz")</f>
        <v>uf_th3_dreamzz</v>
      </c>
      <c r="Q4" s="111">
        <f>IFERROR(__xludf.DUMMYFUNCTION("INDEX(SORT(FILTER('Feuille 1'!Z2:Z39, NOT(ISNUMBER(SEARCH(""Retirée"", 'Feuille 1'!A2:A39)))), FILTER('Feuille 1'!Z2:Z39, NOT(ISNUMBER(SEARCH(""Retirée"", 'Feuille 1'!A2:A39)))), FALSE, FILTER('Feuille 1'!Y2:Y39, NOT(ISNUMBER(SEARCH(""Retirée"", 'Feuille "&amp;"1'!A2:A39)))), FALSE), 3)"),6.0)</f>
        <v>6</v>
      </c>
      <c r="R4" s="111"/>
      <c r="S4" s="113" t="s">
        <v>100</v>
      </c>
      <c r="T4" s="111">
        <f>COUNTIF('Feuille 1'!AA2:AA39, "🔎 En observation") - COUNTIF('Feuille 1'!A2:A39, "*Retirée*")</f>
        <v>14</v>
      </c>
    </row>
    <row r="5" ht="16.5" customHeight="1">
      <c r="A5" s="111"/>
      <c r="B5" s="140" t="s">
        <v>101</v>
      </c>
      <c r="C5" s="141"/>
      <c r="D5" s="142" t="s">
        <v>102</v>
      </c>
      <c r="E5" s="143"/>
      <c r="F5" s="144" t="s">
        <v>85</v>
      </c>
      <c r="G5" s="145"/>
      <c r="H5" s="146" t="s">
        <v>86</v>
      </c>
      <c r="I5" s="147"/>
      <c r="J5" s="148" t="s">
        <v>84</v>
      </c>
      <c r="K5" s="149"/>
      <c r="L5" s="150" t="s">
        <v>103</v>
      </c>
      <c r="M5" s="151"/>
      <c r="N5" s="152"/>
      <c r="O5" s="111"/>
      <c r="P5" s="111" t="str">
        <f>IFERROR(__xludf.DUMMYFUNCTION("INDEX(SORT(FILTER('Feuille 1'!A2:A39, NOT(ISNUMBER(SEARCH(""Retirée"", 'Feuille 1'!A2:A39)))), FILTER('Feuille 1'!Z2:Z39, NOT(ISNUMBER(SEARCH(""Retirée"", 'Feuille 1'!A2:A39)))), FALSE, FILTER('Feuille 1'!Y2:Y39, NOT(ISNUMBER(SEARCH(""Retirée"", 'Feuille "&amp;"1'!A2:A39)))), FALSE), 4)"),"nini_nesss")</f>
        <v>nini_nesss</v>
      </c>
      <c r="Q5" s="111">
        <f>IFERROR(__xludf.DUMMYFUNCTION("INDEX(SORT(FILTER('Feuille 1'!Z2:Z39, NOT(ISNUMBER(SEARCH(""Retirée"", 'Feuille 1'!A2:A39)))), FILTER('Feuille 1'!Z2:Z39, NOT(ISNUMBER(SEARCH(""Retirée"", 'Feuille 1'!A2:A39)))), FALSE, FILTER('Feuille 1'!Y2:Y39, NOT(ISNUMBER(SEARCH(""Retirée"", 'Feuille "&amp;"1'!A2:A39)))), FALSE), 4)"),6.0)</f>
        <v>6</v>
      </c>
      <c r="R5" s="111"/>
      <c r="S5" s="113" t="s">
        <v>104</v>
      </c>
      <c r="T5" s="111">
        <f>COUNTIF('Feuille 1'!AA2:AA39, "⚠️ Danger fantôme")</f>
        <v>11</v>
      </c>
    </row>
    <row r="6" ht="10.5" customHeight="1">
      <c r="A6" s="111"/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 t="str">
        <f>IFERROR(__xludf.DUMMYFUNCTION("INDEX(SORT(FILTER('Feuille 1'!A2:A39, NOT(ISNUMBER(SEARCH(""Retirée"", 'Feuille 1'!A2:A39)))), FILTER('Feuille 1'!Z2:Z39, NOT(ISNUMBER(SEARCH(""Retirée"", 'Feuille 1'!A2:A39)))), FALSE, FILTER('Feuille 1'!Y2:Y39, NOT(ISNUMBER(SEARCH(""Retirée"", 'Feuille "&amp;"1'!A2:A39)))), FALSE), 5)"),"imRqin")</f>
        <v>imRqin</v>
      </c>
      <c r="Q6" s="111">
        <f>IFERROR(__xludf.DUMMYFUNCTION("INDEX(SORT(FILTER('Feuille 1'!Z2:Z39, NOT(ISNUMBER(SEARCH(""Retirée"", 'Feuille 1'!A2:A39)))), FILTER('Feuille 1'!Z2:Z39, NOT(ISNUMBER(SEARCH(""Retirée"", 'Feuille 1'!A2:A39)))), FALSE, FILTER('Feuille 1'!Y2:Y39, NOT(ISNUMBER(SEARCH(""Retirée"", 'Feuille "&amp;"1'!A2:A39)))), FALSE), 5)"),6.0)</f>
        <v>6</v>
      </c>
      <c r="R6" s="111"/>
      <c r="S6" s="111"/>
      <c r="T6" s="111"/>
    </row>
    <row r="7" ht="24.0" customHeight="1">
      <c r="A7" s="111"/>
      <c r="B7" s="153" t="s">
        <v>105</v>
      </c>
      <c r="C7" s="154"/>
      <c r="D7" s="154"/>
      <c r="E7" s="154"/>
      <c r="F7" s="154"/>
      <c r="G7" s="155"/>
      <c r="H7" s="111"/>
      <c r="I7" s="156" t="s">
        <v>106</v>
      </c>
      <c r="J7" s="157"/>
      <c r="K7" s="157"/>
      <c r="L7" s="157"/>
      <c r="M7" s="157"/>
      <c r="N7" s="158"/>
      <c r="O7" s="111"/>
      <c r="P7" s="111" t="str">
        <f>IFERROR(__xludf.DUMMYFUNCTION("INDEX(SORT(FILTER('Feuille 1'!A2:A39, NOT(ISNUMBER(SEARCH(""Retirée"", 'Feuille 1'!A2:A39)))), FILTER('Feuille 1'!Z2:Z39, NOT(ISNUMBER(SEARCH(""Retirée"", 'Feuille 1'!A2:A39)))), FALSE, FILTER('Feuille 1'!Y2:Y39, NOT(ISNUMBER(SEARCH(""Retirée"", 'Feuille "&amp;"1'!A2:A39)))), FALSE), 6)"),"Sako76_")</f>
        <v>Sako76_</v>
      </c>
      <c r="Q7" s="111">
        <f>IFERROR(__xludf.DUMMYFUNCTION("INDEX(SORT(FILTER('Feuille 1'!Z2:Z39, NOT(ISNUMBER(SEARCH(""Retirée"", 'Feuille 1'!A2:A39)))), FILTER('Feuille 1'!Z2:Z39, NOT(ISNUMBER(SEARCH(""Retirée"", 'Feuille 1'!A2:A39)))), FALSE, FILTER('Feuille 1'!Y2:Y39, NOT(ISNUMBER(SEARCH(""Retirée"", 'Feuille "&amp;"1'!A2:A39)))), FALSE), 6)"),4.0)</f>
        <v>4</v>
      </c>
      <c r="R7" s="111"/>
      <c r="S7" s="111"/>
      <c r="T7" s="111"/>
    </row>
    <row r="8" ht="22.5" customHeight="1">
      <c r="A8" s="111"/>
      <c r="B8" s="159" t="s">
        <v>107</v>
      </c>
      <c r="C8" s="160" t="s">
        <v>34</v>
      </c>
      <c r="D8" s="161"/>
      <c r="E8" s="162"/>
      <c r="F8" s="162"/>
      <c r="G8" s="163"/>
      <c r="H8" s="111"/>
      <c r="I8" s="164" t="s">
        <v>108</v>
      </c>
      <c r="J8" s="165"/>
      <c r="K8" s="166" t="str">
        <f>IF(I8="TOUS", (COUNTA('Feuille 1'!A2:A39)-COUNTIF('Feuille 1'!A2:A39, "*Retirée*")) &amp; " modérateurs", COUNTIF('Feuille 1'!AA2:AA39, I8) &amp; " modérateur(s)")</f>
        <v>37 modérateurs</v>
      </c>
      <c r="L8" s="165"/>
      <c r="M8" s="165"/>
      <c r="N8" s="167"/>
      <c r="O8" s="111"/>
      <c r="P8" s="111" t="str">
        <f>IFERROR(__xludf.DUMMYFUNCTION("INDEX(SORT(FILTER('Feuille 1'!A2:A39, NOT(ISNUMBER(SEARCH(""Retirée"", 'Feuille 1'!A2:A39)))), FILTER('Feuille 1'!Z2:Z39, NOT(ISNUMBER(SEARCH(""Retirée"", 'Feuille 1'!A2:A39)))), FALSE, FILTER('Feuille 1'!Y2:Y39, NOT(ISNUMBER(SEARCH(""Retirée"", 'Feuille "&amp;"1'!A2:A39)))), FALSE), 7)"),"amandinee_22")</f>
        <v>amandinee_22</v>
      </c>
      <c r="Q8" s="111">
        <f>IFERROR(__xludf.DUMMYFUNCTION("INDEX(SORT(FILTER('Feuille 1'!Z2:Z39, NOT(ISNUMBER(SEARCH(""Retirée"", 'Feuille 1'!A2:A39)))), FILTER('Feuille 1'!Z2:Z39, NOT(ISNUMBER(SEARCH(""Retirée"", 'Feuille 1'!A2:A39)))), FALSE, FILTER('Feuille 1'!Y2:Y39, NOT(ISNUMBER(SEARCH(""Retirée"", 'Feuille "&amp;"1'!A2:A39)))), FALSE), 7)"),4.0)</f>
        <v>4</v>
      </c>
      <c r="R8" s="111"/>
      <c r="S8" s="111"/>
      <c r="T8" s="111"/>
    </row>
    <row r="9" ht="19.5" customHeight="1">
      <c r="A9" s="111"/>
      <c r="B9" s="168" t="s">
        <v>109</v>
      </c>
      <c r="C9" s="161"/>
      <c r="D9" s="169" t="str">
        <f>IFERROR(VLOOKUP(C8, 'Feuille 1'!A2:AC39, 27, FALSE), "-")</f>
        <v>⭐ Modo Actif</v>
      </c>
      <c r="E9" s="161"/>
      <c r="F9" s="161"/>
      <c r="G9" s="170"/>
      <c r="H9" s="111"/>
      <c r="I9" s="171"/>
      <c r="J9" s="111"/>
      <c r="K9" s="111"/>
      <c r="L9" s="111"/>
      <c r="M9" s="111"/>
      <c r="N9" s="172"/>
      <c r="O9" s="111"/>
      <c r="P9" s="111" t="str">
        <f>IFERROR(__xludf.DUMMYFUNCTION("INDEX(SORT(FILTER('Feuille 1'!A2:A39, NOT(ISNUMBER(SEARCH(""Retirée"", 'Feuille 1'!A2:A39)))), FILTER('Feuille 1'!Z2:Z39, NOT(ISNUMBER(SEARCH(""Retirée"", 'Feuille 1'!A2:A39)))), FALSE, FILTER('Feuille 1'!Y2:Y39, NOT(ISNUMBER(SEARCH(""Retirée"", 'Feuille "&amp;"1'!A2:A39)))), FALSE), 8)"),"Xdayman")</f>
        <v>Xdayman</v>
      </c>
      <c r="Q9" s="111">
        <f>IFERROR(__xludf.DUMMYFUNCTION("INDEX(SORT(FILTER('Feuille 1'!Z2:Z39, NOT(ISNUMBER(SEARCH(""Retirée"", 'Feuille 1'!A2:A39)))), FILTER('Feuille 1'!Z2:Z39, NOT(ISNUMBER(SEARCH(""Retirée"", 'Feuille 1'!A2:A39)))), FALSE, FILTER('Feuille 1'!Y2:Y39, NOT(ISNUMBER(SEARCH(""Retirée"", 'Feuille "&amp;"1'!A2:A39)))), FALSE), 8)"),4.0)</f>
        <v>4</v>
      </c>
      <c r="R9" s="111"/>
      <c r="S9" s="111"/>
      <c r="T9" s="111"/>
    </row>
    <row r="10" ht="21.0" customHeight="1">
      <c r="A10" s="111"/>
      <c r="B10" s="168" t="s">
        <v>110</v>
      </c>
      <c r="C10" s="161"/>
      <c r="D10" s="169" t="str">
        <f>IFERROR(VLOOKUP(C8, 'Feuille 1'!A2:AC39, 29, FALSE), "-")</f>
        <v>Très actif</v>
      </c>
      <c r="E10" s="161"/>
      <c r="F10" s="161"/>
      <c r="G10" s="170"/>
      <c r="H10" s="111"/>
      <c r="I10" s="173" t="s">
        <v>73</v>
      </c>
      <c r="J10" s="174" t="s">
        <v>26</v>
      </c>
      <c r="K10" s="174" t="s">
        <v>111</v>
      </c>
      <c r="L10" s="174" t="s">
        <v>112</v>
      </c>
      <c r="M10" s="174" t="s">
        <v>113</v>
      </c>
      <c r="N10" s="175" t="s">
        <v>114</v>
      </c>
      <c r="O10" s="111"/>
      <c r="P10" s="111"/>
      <c r="Q10" s="111"/>
      <c r="R10" s="111"/>
      <c r="S10" s="111"/>
      <c r="T10" s="111"/>
    </row>
    <row r="11" ht="18.0" customHeight="1">
      <c r="A11" s="111"/>
      <c r="B11" s="176" t="s">
        <v>115</v>
      </c>
      <c r="C11" s="177"/>
      <c r="D11" s="178">
        <f>IFERROR(VLOOKUP(C8, 'Feuille 1'!A2:AC39, 26, FALSE), 0)</f>
        <v>4</v>
      </c>
      <c r="E11" s="179" t="s">
        <v>116</v>
      </c>
      <c r="F11" s="177"/>
      <c r="G11" s="180">
        <f>IFERROR(VLOOKUP(C8, 'Feuille 1'!A2:AC39, 25, FALSE), 0)</f>
        <v>1</v>
      </c>
      <c r="H11" s="111"/>
      <c r="I11" s="181" t="str">
        <f>IFERROR(__xludf.DUMMYFUNCTION("IFERROR(SORT(CHOOSECOLS(FILTER('Feuille 1'!A2:AC39, IF(I8=""TOUS"", NOT(ISNUMBER(SEARCH(""Retirée"", 'Feuille 1'!A2:A39))), 'Feuille 1'!AA2:AA39=I8)), 1, 27, 26, 25, 24, 29), 3, FALSE, 4, FALSE), ""Aucun résultat"")"),"AyssAFK")</f>
        <v>AyssAFK</v>
      </c>
      <c r="J11" s="182" t="str">
        <f>IFERROR(__xludf.DUMMYFUNCTION("""COMPUTED_VALUE"""),"👑 Top Modo")</f>
        <v>👑 Top Modo</v>
      </c>
      <c r="K11" s="183">
        <f>IFERROR(__xludf.DUMMYFUNCTION("""COMPUTED_VALUE"""),6.0)</f>
        <v>6</v>
      </c>
      <c r="L11" s="184">
        <f>IFERROR(__xludf.DUMMYFUNCTION("""COMPUTED_VALUE"""),1.0)</f>
        <v>1</v>
      </c>
      <c r="M11" s="185">
        <f>IFERROR(__xludf.DUMMYFUNCTION("""COMPUTED_VALUE"""),2.0)</f>
        <v>2</v>
      </c>
      <c r="N11" s="186" t="str">
        <f>IFERROR(__xludf.DUMMYFUNCTION("""COMPUTED_VALUE"""),"Actif")</f>
        <v>Actif</v>
      </c>
      <c r="O11" s="111"/>
      <c r="P11" s="111"/>
      <c r="Q11" s="111"/>
      <c r="R11" s="111"/>
      <c r="S11" s="111"/>
      <c r="T11" s="111"/>
    </row>
    <row r="12" ht="18.0" customHeight="1">
      <c r="A12" s="111"/>
      <c r="B12" s="153" t="s">
        <v>117</v>
      </c>
      <c r="C12" s="154"/>
      <c r="D12" s="154"/>
      <c r="E12" s="154"/>
      <c r="F12" s="154"/>
      <c r="G12" s="155"/>
      <c r="H12" s="111"/>
      <c r="I12" s="181" t="str">
        <f>IFERROR(__xludf.DUMMYFUNCTION("""COMPUTED_VALUE"""),"jawad_4k")</f>
        <v>jawad_4k</v>
      </c>
      <c r="J12" s="182" t="str">
        <f>IFERROR(__xludf.DUMMYFUNCTION("""COMPUTED_VALUE"""),"👑 Top Modo")</f>
        <v>👑 Top Modo</v>
      </c>
      <c r="K12" s="183">
        <f>IFERROR(__xludf.DUMMYFUNCTION("""COMPUTED_VALUE"""),6.0)</f>
        <v>6</v>
      </c>
      <c r="L12" s="184">
        <f>IFERROR(__xludf.DUMMYFUNCTION("""COMPUTED_VALUE"""),1.0)</f>
        <v>1</v>
      </c>
      <c r="M12" s="185">
        <f>IFERROR(__xludf.DUMMYFUNCTION("""COMPUTED_VALUE"""),2.0)</f>
        <v>2</v>
      </c>
      <c r="N12" s="186" t="str">
        <f>IFERROR(__xludf.DUMMYFUNCTION("""COMPUTED_VALUE"""),"Actif")</f>
        <v>Actif</v>
      </c>
      <c r="O12" s="111"/>
      <c r="P12" s="111"/>
      <c r="Q12" s="111"/>
      <c r="R12" s="111"/>
      <c r="S12" s="111"/>
      <c r="T12" s="111"/>
    </row>
    <row r="13" ht="18.0" customHeight="1">
      <c r="A13" s="111"/>
      <c r="B13" s="187" t="s">
        <v>118</v>
      </c>
      <c r="C13" s="188" t="s">
        <v>119</v>
      </c>
      <c r="D13" s="189" t="s">
        <v>120</v>
      </c>
      <c r="E13" s="190" t="s">
        <v>121</v>
      </c>
      <c r="F13" s="191" t="s">
        <v>122</v>
      </c>
      <c r="G13" s="170"/>
      <c r="H13" s="111"/>
      <c r="I13" s="181" t="str">
        <f>IFERROR(__xludf.DUMMYFUNCTION("""COMPUTED_VALUE"""),"uf_th3_dreamzz")</f>
        <v>uf_th3_dreamzz</v>
      </c>
      <c r="J13" s="182" t="str">
        <f>IFERROR(__xludf.DUMMYFUNCTION("""COMPUTED_VALUE"""),"👑 Top Modo")</f>
        <v>👑 Top Modo</v>
      </c>
      <c r="K13" s="183">
        <f>IFERROR(__xludf.DUMMYFUNCTION("""COMPUTED_VALUE"""),6.0)</f>
        <v>6</v>
      </c>
      <c r="L13" s="184">
        <f>IFERROR(__xludf.DUMMYFUNCTION("""COMPUTED_VALUE"""),1.0)</f>
        <v>1</v>
      </c>
      <c r="M13" s="185">
        <f>IFERROR(__xludf.DUMMYFUNCTION("""COMPUTED_VALUE"""),2.0)</f>
        <v>2</v>
      </c>
      <c r="N13" s="186" t="str">
        <f>IFERROR(__xludf.DUMMYFUNCTION("""COMPUTED_VALUE"""),"Actif")</f>
        <v>Actif</v>
      </c>
      <c r="O13" s="111"/>
      <c r="P13" s="111"/>
      <c r="Q13" s="111"/>
      <c r="R13" s="111"/>
      <c r="S13" s="111"/>
      <c r="T13" s="111"/>
    </row>
    <row r="14" ht="18.0" customHeight="1">
      <c r="A14" s="111"/>
      <c r="B14" s="192">
        <f>IFERROR(VLOOKUP(C8, 'Feuille 1'!A2:AC39, 24, FALSE), 0)</f>
        <v>1</v>
      </c>
      <c r="C14" s="193">
        <f>IFERROR(VLOOKUP(C8, 'Feuille 1'!A2:AC39, 23, FALSE), 0)</f>
        <v>1</v>
      </c>
      <c r="D14" s="193">
        <f>IFERROR(VLOOKUP(C8, 'Feuille 1'!A2:AC39, 22, FALSE), 0)</f>
        <v>0</v>
      </c>
      <c r="E14" s="193">
        <f>IFERROR(VLOOKUP(C8, 'Feuille 1'!A2:AC39, 21, FALSE), 0)</f>
        <v>0</v>
      </c>
      <c r="F14" s="194" t="str">
        <f>IFERROR((B14+C14) &amp; " j actifs / 2 j", "-")</f>
        <v>2 j actifs / 2 j</v>
      </c>
      <c r="G14" s="170"/>
      <c r="H14" s="111"/>
      <c r="I14" s="181" t="str">
        <f>IFERROR(__xludf.DUMMYFUNCTION("""COMPUTED_VALUE"""),"nini_nesss")</f>
        <v>nini_nesss</v>
      </c>
      <c r="J14" s="182" t="str">
        <f>IFERROR(__xludf.DUMMYFUNCTION("""COMPUTED_VALUE"""),"👑 Top Modo")</f>
        <v>👑 Top Modo</v>
      </c>
      <c r="K14" s="183">
        <f>IFERROR(__xludf.DUMMYFUNCTION("""COMPUTED_VALUE"""),6.0)</f>
        <v>6</v>
      </c>
      <c r="L14" s="184">
        <f>IFERROR(__xludf.DUMMYFUNCTION("""COMPUTED_VALUE"""),1.0)</f>
        <v>1</v>
      </c>
      <c r="M14" s="185">
        <f>IFERROR(__xludf.DUMMYFUNCTION("""COMPUTED_VALUE"""),2.0)</f>
        <v>2</v>
      </c>
      <c r="N14" s="186" t="str">
        <f>IFERROR(__xludf.DUMMYFUNCTION("""COMPUTED_VALUE"""),"Actif")</f>
        <v>Actif</v>
      </c>
      <c r="O14" s="111"/>
      <c r="P14" s="111"/>
      <c r="Q14" s="111"/>
      <c r="R14" s="111"/>
      <c r="S14" s="111"/>
      <c r="T14" s="111"/>
    </row>
    <row r="15" ht="18.0" customHeight="1">
      <c r="A15" s="111"/>
      <c r="B15" s="195" t="s">
        <v>123</v>
      </c>
      <c r="C15" s="196" t="str">
        <f>IFERROR(__xludf.DUMMYFUNCTION("IFERROR(SPARKLINE(G11, {""charttype"",""bar""; ""max"",1; ""color1"",IF(G11&gt;=0.75, ""#16A34A"", IF(G11&gt;=0.4, ""#EAB308"", ""#DC2626""))}), """")"),"")</f>
        <v/>
      </c>
      <c r="D15" s="161"/>
      <c r="E15" s="161"/>
      <c r="F15" s="161"/>
      <c r="G15" s="170"/>
      <c r="H15" s="111"/>
      <c r="I15" s="181" t="str">
        <f>IFERROR(__xludf.DUMMYFUNCTION("""COMPUTED_VALUE"""),"imRqin")</f>
        <v>imRqin</v>
      </c>
      <c r="J15" s="182" t="str">
        <f>IFERROR(__xludf.DUMMYFUNCTION("""COMPUTED_VALUE"""),"👑 Top Modo")</f>
        <v>👑 Top Modo</v>
      </c>
      <c r="K15" s="183">
        <f>IFERROR(__xludf.DUMMYFUNCTION("""COMPUTED_VALUE"""),6.0)</f>
        <v>6</v>
      </c>
      <c r="L15" s="184">
        <f>IFERROR(__xludf.DUMMYFUNCTION("""COMPUTED_VALUE"""),1.0)</f>
        <v>1</v>
      </c>
      <c r="M15" s="185">
        <f>IFERROR(__xludf.DUMMYFUNCTION("""COMPUTED_VALUE"""),2.0)</f>
        <v>2</v>
      </c>
      <c r="N15" s="186" t="str">
        <f>IFERROR(__xludf.DUMMYFUNCTION("""COMPUTED_VALUE"""),"Actif")</f>
        <v>Actif</v>
      </c>
      <c r="O15" s="111"/>
      <c r="P15" s="111"/>
      <c r="Q15" s="111"/>
      <c r="R15" s="111"/>
      <c r="S15" s="111"/>
      <c r="T15" s="111"/>
    </row>
    <row r="16" ht="18.0" customHeight="1">
      <c r="A16" s="111"/>
      <c r="B16" s="197" t="str">
        <f>IFERROR(__xludf.DUMMYFUNCTION("SPARKLINE(MAP('Feuille 1'!E1:F1, LAMBDA(j, SWITCH(INDEX('Feuille 1'!E2:F39, MATCH(C8, 'Feuille 1'!A2:A39, 0), COLUMN(j)-4), ""Active beaucoup"", 2, ""Active un peu"", 1, ""Absence justifiée"", 0, ""Pas là"", -1, 0))), {""charttype"",""column""; ""color"","&amp;"""#2563EB""; ""negcolor"",""#EF4444""; ""ymin"",-1; ""ymax"",2})"),"")</f>
        <v/>
      </c>
      <c r="C16" s="198" t="str">
        <f>IFERROR(__xludf.DUMMYFUNCTION("SPARKLINE(MAP('Feuille 1'!E1:G1, LAMBDA(j, SWITCH(INDEX('Feuille 1'!E2:G39, MATCH(C8, 'Feuille 1'!A2:A39, 0), COLUMN(j)-4), ""Active beaucoup"", 2, ""Active un peu"", 1, ""Absence justifiée"", 0, ""Pas là"", -1, 0))), {""charttype"",""column""; ""color"","&amp;"""#2563EB""; ""negcolor"",""#EF4444""; ""ymin"",-1; ""ymax"",2})"),"")</f>
        <v/>
      </c>
      <c r="D16" s="177"/>
      <c r="E16" s="177"/>
      <c r="F16" s="177"/>
      <c r="G16" s="199"/>
      <c r="H16" s="111"/>
      <c r="I16" s="181" t="str">
        <f>IFERROR(__xludf.DUMMYFUNCTION("""COMPUTED_VALUE"""),"Sako76_")</f>
        <v>Sako76_</v>
      </c>
      <c r="J16" s="182" t="str">
        <f>IFERROR(__xludf.DUMMYFUNCTION("""COMPUTED_VALUE"""),"⭐ Modo Actif")</f>
        <v>⭐ Modo Actif</v>
      </c>
      <c r="K16" s="183">
        <f>IFERROR(__xludf.DUMMYFUNCTION("""COMPUTED_VALUE"""),4.0)</f>
        <v>4</v>
      </c>
      <c r="L16" s="184">
        <f>IFERROR(__xludf.DUMMYFUNCTION("""COMPUTED_VALUE"""),1.0)</f>
        <v>1</v>
      </c>
      <c r="M16" s="185">
        <f>IFERROR(__xludf.DUMMYFUNCTION("""COMPUTED_VALUE"""),1.0)</f>
        <v>1</v>
      </c>
      <c r="N16" s="186" t="str">
        <f>IFERROR(__xludf.DUMMYFUNCTION("""COMPUTED_VALUE"""),"En observation")</f>
        <v>En observation</v>
      </c>
      <c r="O16" s="111"/>
      <c r="P16" s="111"/>
      <c r="Q16" s="111"/>
      <c r="R16" s="111"/>
      <c r="S16" s="111"/>
      <c r="T16" s="111"/>
    </row>
    <row r="17" ht="18.0" customHeight="1">
      <c r="A17" s="111"/>
      <c r="B17" s="153" t="s">
        <v>124</v>
      </c>
      <c r="C17" s="154"/>
      <c r="D17" s="154"/>
      <c r="E17" s="154"/>
      <c r="F17" s="154"/>
      <c r="G17" s="155"/>
      <c r="H17" s="111"/>
      <c r="I17" s="181" t="str">
        <f>IFERROR(__xludf.DUMMYFUNCTION("""COMPUTED_VALUE"""),"amandinee_22")</f>
        <v>amandinee_22</v>
      </c>
      <c r="J17" s="182" t="str">
        <f>IFERROR(__xludf.DUMMYFUNCTION("""COMPUTED_VALUE"""),"⭐ Modo Actif")</f>
        <v>⭐ Modo Actif</v>
      </c>
      <c r="K17" s="183">
        <f>IFERROR(__xludf.DUMMYFUNCTION("""COMPUTED_VALUE"""),4.0)</f>
        <v>4</v>
      </c>
      <c r="L17" s="184">
        <f>IFERROR(__xludf.DUMMYFUNCTION("""COMPUTED_VALUE"""),1.0)</f>
        <v>1</v>
      </c>
      <c r="M17" s="185">
        <f>IFERROR(__xludf.DUMMYFUNCTION("""COMPUTED_VALUE"""),1.0)</f>
        <v>1</v>
      </c>
      <c r="N17" s="186" t="str">
        <f>IFERROR(__xludf.DUMMYFUNCTION("""COMPUTED_VALUE"""),"Très actif")</f>
        <v>Très actif</v>
      </c>
      <c r="O17" s="111"/>
      <c r="P17" s="111"/>
      <c r="Q17" s="111"/>
      <c r="R17" s="111"/>
      <c r="S17" s="111"/>
      <c r="T17" s="111"/>
    </row>
    <row r="18" ht="18.0" customHeight="1">
      <c r="A18" s="111"/>
      <c r="B18" s="200" t="s">
        <v>125</v>
      </c>
      <c r="C18" s="53"/>
      <c r="D18" s="201">
        <f>IFERROR(VLOOKUP(C8, 'Actions Modération'!A6:G43, 5, FALSE), 0)</f>
        <v>23</v>
      </c>
      <c r="E18" s="202" t="s">
        <v>126</v>
      </c>
      <c r="F18" s="53"/>
      <c r="G18" s="203">
        <f>IFERROR(VLOOKUP(C8, 'Actions Modération'!A6:G43, 6, FALSE), 0)</f>
        <v>11.5</v>
      </c>
      <c r="H18" s="111"/>
      <c r="I18" s="181" t="str">
        <f>IFERROR(__xludf.DUMMYFUNCTION("""COMPUTED_VALUE"""),"Xdayman")</f>
        <v>Xdayman</v>
      </c>
      <c r="J18" s="182" t="str">
        <f>IFERROR(__xludf.DUMMYFUNCTION("""COMPUTED_VALUE"""),"⭐ Modo Actif")</f>
        <v>⭐ Modo Actif</v>
      </c>
      <c r="K18" s="183">
        <f>IFERROR(__xludf.DUMMYFUNCTION("""COMPUTED_VALUE"""),4.0)</f>
        <v>4</v>
      </c>
      <c r="L18" s="184">
        <f>IFERROR(__xludf.DUMMYFUNCTION("""COMPUTED_VALUE"""),1.0)</f>
        <v>1</v>
      </c>
      <c r="M18" s="185">
        <f>IFERROR(__xludf.DUMMYFUNCTION("""COMPUTED_VALUE"""),1.0)</f>
        <v>1</v>
      </c>
      <c r="N18" s="186" t="str">
        <f>IFERROR(__xludf.DUMMYFUNCTION("""COMPUTED_VALUE"""),"Actif")</f>
        <v>Actif</v>
      </c>
      <c r="O18" s="111"/>
      <c r="P18" s="111"/>
      <c r="Q18" s="111"/>
      <c r="R18" s="111"/>
      <c r="S18" s="111"/>
      <c r="T18" s="111"/>
    </row>
    <row r="19" ht="18.0" customHeight="1">
      <c r="A19" s="111"/>
      <c r="B19" s="204" t="s">
        <v>4</v>
      </c>
      <c r="C19" s="205" t="s">
        <v>5</v>
      </c>
      <c r="D19" s="205" t="s">
        <v>6</v>
      </c>
      <c r="E19" s="206" t="s">
        <v>127</v>
      </c>
      <c r="F19" s="161"/>
      <c r="G19" s="170"/>
      <c r="H19" s="111"/>
      <c r="I19" s="181" t="str">
        <f>IFERROR(__xludf.DUMMYFUNCTION("""COMPUTED_VALUE"""),"Su_wii")</f>
        <v>Su_wii</v>
      </c>
      <c r="J19" s="182" t="str">
        <f>IFERROR(__xludf.DUMMYFUNCTION("""COMPUTED_VALUE"""),"⭐ Modo Actif")</f>
        <v>⭐ Modo Actif</v>
      </c>
      <c r="K19" s="183">
        <f>IFERROR(__xludf.DUMMYFUNCTION("""COMPUTED_VALUE"""),4.0)</f>
        <v>4</v>
      </c>
      <c r="L19" s="184">
        <f>IFERROR(__xludf.DUMMYFUNCTION("""COMPUTED_VALUE"""),1.0)</f>
        <v>1</v>
      </c>
      <c r="M19" s="185">
        <f>IFERROR(__xludf.DUMMYFUNCTION("""COMPUTED_VALUE"""),1.0)</f>
        <v>1</v>
      </c>
      <c r="N19" s="186" t="str">
        <f>IFERROR(__xludf.DUMMYFUNCTION("""COMPUTED_VALUE"""),"Peu actif")</f>
        <v>Peu actif</v>
      </c>
      <c r="O19" s="111"/>
      <c r="P19" s="111"/>
      <c r="Q19" s="111"/>
      <c r="R19" s="111"/>
      <c r="S19" s="111"/>
      <c r="T19" s="111"/>
    </row>
    <row r="20" ht="18.0" customHeight="1">
      <c r="A20" s="111"/>
      <c r="B20" s="207">
        <f>IFERROR(VLOOKUP(C8, 'Actions Modération'!A6:G43, 2, FALSE), 0)</f>
        <v>4</v>
      </c>
      <c r="C20" s="208">
        <f>IFERROR(VLOOKUP(C8, 'Actions Modération'!A6:G43, 3, FALSE), 0)</f>
        <v>19</v>
      </c>
      <c r="D20" s="208">
        <f>IFERROR(VLOOKUP(C8, 'Actions Modération'!A6:G43, 4, FALSE), 0)</f>
        <v>0</v>
      </c>
      <c r="E20" s="209">
        <f>D18</f>
        <v>23</v>
      </c>
      <c r="F20" s="161"/>
      <c r="G20" s="170"/>
      <c r="H20" s="111"/>
      <c r="I20" s="181" t="str">
        <f>IFERROR(__xludf.DUMMYFUNCTION("""COMPUTED_VALUE"""),"naxoo_of")</f>
        <v>naxoo_of</v>
      </c>
      <c r="J20" s="182" t="str">
        <f>IFERROR(__xludf.DUMMYFUNCTION("""COMPUTED_VALUE"""),"⭐ Modo Actif")</f>
        <v>⭐ Modo Actif</v>
      </c>
      <c r="K20" s="183">
        <f>IFERROR(__xludf.DUMMYFUNCTION("""COMPUTED_VALUE"""),4.0)</f>
        <v>4</v>
      </c>
      <c r="L20" s="184">
        <f>IFERROR(__xludf.DUMMYFUNCTION("""COMPUTED_VALUE"""),1.0)</f>
        <v>1</v>
      </c>
      <c r="M20" s="185">
        <f>IFERROR(__xludf.DUMMYFUNCTION("""COMPUTED_VALUE"""),1.0)</f>
        <v>1</v>
      </c>
      <c r="N20" s="186" t="str">
        <f>IFERROR(__xludf.DUMMYFUNCTION("""COMPUTED_VALUE"""),"Actif")</f>
        <v>Actif</v>
      </c>
      <c r="O20" s="111"/>
      <c r="P20" s="111"/>
      <c r="Q20" s="111"/>
      <c r="R20" s="111"/>
      <c r="S20" s="111"/>
      <c r="T20" s="111"/>
    </row>
    <row r="21" ht="18.0" customHeight="1">
      <c r="A21" s="111"/>
      <c r="B21" s="210" t="str">
        <f>IFERROR(__xludf.DUMMYFUNCTION("IF(D18=0, ""Aucune action enregistrée sur J15-J16"", SPARKLINE(B20:C20, {""charttype"",""column"";""color"",""#3B82F6""}))"),"")</f>
        <v/>
      </c>
      <c r="C21" s="198" t="str">
        <f>IFERROR(__xludf.DUMMYFUNCTION("IF(D18=0, ""Aucune action enregistrée sur J15-J17"", SPARKLINE(B20:D20, {""charttype"",""column"";""color"",""#3B82F6""}))"),"")</f>
        <v/>
      </c>
      <c r="D21" s="177"/>
      <c r="E21" s="177"/>
      <c r="F21" s="177"/>
      <c r="G21" s="199"/>
      <c r="H21" s="111"/>
      <c r="I21" s="181" t="str">
        <f>IFERROR(__xludf.DUMMYFUNCTION("""COMPUTED_VALUE"""),"eren835_")</f>
        <v>eren835_</v>
      </c>
      <c r="J21" s="182" t="str">
        <f>IFERROR(__xludf.DUMMYFUNCTION("""COMPUTED_VALUE"""),"⭐ Modo Actif")</f>
        <v>⭐ Modo Actif</v>
      </c>
      <c r="K21" s="183">
        <f>IFERROR(__xludf.DUMMYFUNCTION("""COMPUTED_VALUE"""),4.0)</f>
        <v>4</v>
      </c>
      <c r="L21" s="184">
        <f>IFERROR(__xludf.DUMMYFUNCTION("""COMPUTED_VALUE"""),1.0)</f>
        <v>1</v>
      </c>
      <c r="M21" s="185">
        <f>IFERROR(__xludf.DUMMYFUNCTION("""COMPUTED_VALUE"""),1.0)</f>
        <v>1</v>
      </c>
      <c r="N21" s="186" t="str">
        <f>IFERROR(__xludf.DUMMYFUNCTION("""COMPUTED_VALUE"""),"En observation")</f>
        <v>En observation</v>
      </c>
      <c r="O21" s="111"/>
      <c r="P21" s="111"/>
      <c r="Q21" s="111"/>
      <c r="R21" s="111"/>
      <c r="S21" s="111"/>
      <c r="T21" s="111"/>
    </row>
    <row r="22" ht="18.0" customHeight="1">
      <c r="A22" s="111"/>
      <c r="B22" s="153" t="s">
        <v>128</v>
      </c>
      <c r="C22" s="154"/>
      <c r="D22" s="154"/>
      <c r="E22" s="154"/>
      <c r="F22" s="154"/>
      <c r="G22" s="155"/>
      <c r="H22" s="111"/>
      <c r="I22" s="181" t="str">
        <f>IFERROR(__xludf.DUMMYFUNCTION("""COMPUTED_VALUE"""),"moonstoness__")</f>
        <v>moonstoness__</v>
      </c>
      <c r="J22" s="182" t="str">
        <f>IFERROR(__xludf.DUMMYFUNCTION("""COMPUTED_VALUE"""),"⭐ Modo Actif")</f>
        <v>⭐ Modo Actif</v>
      </c>
      <c r="K22" s="183">
        <f>IFERROR(__xludf.DUMMYFUNCTION("""COMPUTED_VALUE"""),3.0)</f>
        <v>3</v>
      </c>
      <c r="L22" s="184">
        <f>IFERROR(__xludf.DUMMYFUNCTION("""COMPUTED_VALUE"""),1.0)</f>
        <v>1</v>
      </c>
      <c r="M22" s="185">
        <f>IFERROR(__xludf.DUMMYFUNCTION("""COMPUTED_VALUE"""),1.0)</f>
        <v>1</v>
      </c>
      <c r="N22" s="186" t="str">
        <f>IFERROR(__xludf.DUMMYFUNCTION("""COMPUTED_VALUE"""),"Très actif")</f>
        <v>Très actif</v>
      </c>
      <c r="O22" s="111"/>
      <c r="P22" s="111"/>
      <c r="Q22" s="111"/>
      <c r="R22" s="111"/>
      <c r="S22" s="111"/>
      <c r="T22" s="111"/>
    </row>
    <row r="23" ht="18.0" customHeight="1">
      <c r="A23" s="111"/>
      <c r="B23" s="211" t="s">
        <v>129</v>
      </c>
      <c r="C23" s="161"/>
      <c r="D23" s="212">
        <v>200.0</v>
      </c>
      <c r="E23" s="213" t="s">
        <v>130</v>
      </c>
      <c r="F23" s="161"/>
      <c r="G23" s="214">
        <f>IFERROR(ROUND(G18*7, 0), 0)</f>
        <v>81</v>
      </c>
      <c r="H23" s="111"/>
      <c r="I23" s="181" t="str">
        <f>IFERROR(__xludf.DUMMYFUNCTION("""COMPUTED_VALUE"""),"ssbk691")</f>
        <v>ssbk691</v>
      </c>
      <c r="J23" s="182" t="str">
        <f>IFERROR(__xludf.DUMMYFUNCTION("""COMPUTED_VALUE"""),"🔎 En observation")</f>
        <v>🔎 En observation</v>
      </c>
      <c r="K23" s="183">
        <f>IFERROR(__xludf.DUMMYFUNCTION("""COMPUTED_VALUE"""),2.0)</f>
        <v>2</v>
      </c>
      <c r="L23" s="184">
        <f>IFERROR(__xludf.DUMMYFUNCTION("""COMPUTED_VALUE"""),1.0)</f>
        <v>1</v>
      </c>
      <c r="M23" s="185">
        <f>IFERROR(__xludf.DUMMYFUNCTION("""COMPUTED_VALUE"""),0.0)</f>
        <v>0</v>
      </c>
      <c r="N23" s="186" t="str">
        <f>IFERROR(__xludf.DUMMYFUNCTION("""COMPUTED_VALUE"""),"Actif")</f>
        <v>Actif</v>
      </c>
      <c r="O23" s="111"/>
      <c r="P23" s="111"/>
      <c r="Q23" s="111"/>
      <c r="R23" s="111"/>
      <c r="S23" s="111"/>
      <c r="T23" s="111"/>
    </row>
    <row r="24" ht="18.0" customHeight="1">
      <c r="A24" s="111"/>
      <c r="B24" s="211" t="s">
        <v>131</v>
      </c>
      <c r="C24" s="161"/>
      <c r="D24" s="215">
        <f>IFERROR(G23/D23, 0)</f>
        <v>0.405</v>
      </c>
      <c r="E24" s="213" t="s">
        <v>132</v>
      </c>
      <c r="F24" s="161"/>
      <c r="G24" s="216" t="str">
        <f>IF(D18=0, "⚪ En attente de données", IF(D24&gt;=1, "✅ Objectif Validé", IF(D24&gt;=0.7, "🟡 En bonne voie", IF(D24&gt;=0.3, "⚠️ Sous-performance", "🔴 Critique"))))</f>
        <v>⚠️ Sous-performance</v>
      </c>
      <c r="H24" s="111"/>
      <c r="I24" s="181" t="str">
        <f>IFERROR(__xludf.DUMMYFUNCTION("""COMPUTED_VALUE"""),"enzoot_")</f>
        <v>enzoot_</v>
      </c>
      <c r="J24" s="182" t="str">
        <f>IFERROR(__xludf.DUMMYFUNCTION("""COMPUTED_VALUE"""),"🔎 En observation")</f>
        <v>🔎 En observation</v>
      </c>
      <c r="K24" s="183">
        <f>IFERROR(__xludf.DUMMYFUNCTION("""COMPUTED_VALUE"""),2.0)</f>
        <v>2</v>
      </c>
      <c r="L24" s="184">
        <f>IFERROR(__xludf.DUMMYFUNCTION("""COMPUTED_VALUE"""),1.0)</f>
        <v>1</v>
      </c>
      <c r="M24" s="185">
        <f>IFERROR(__xludf.DUMMYFUNCTION("""COMPUTED_VALUE"""),0.0)</f>
        <v>0</v>
      </c>
      <c r="N24" s="186" t="str">
        <f>IFERROR(__xludf.DUMMYFUNCTION("""COMPUTED_VALUE"""),"En observation")</f>
        <v>En observation</v>
      </c>
      <c r="O24" s="111"/>
      <c r="P24" s="111"/>
      <c r="Q24" s="111"/>
      <c r="R24" s="111"/>
      <c r="S24" s="111"/>
      <c r="T24" s="111"/>
    </row>
    <row r="25" ht="18.0" customHeight="1">
      <c r="A25" s="111"/>
      <c r="B25" s="211" t="s">
        <v>133</v>
      </c>
      <c r="C25" s="217" t="str">
        <f>IFERROR(__xludf.DUMMYFUNCTION("IF(D18=0, """", SPARKLINE(MIN(D24, 1.5), {""charttype"",""bar""; ""max"",1; ""color1"",IF(D24&gt;=1, ""#16A34A"", IF(D24&gt;=0.7, ""#EAB308"", ""#DC2626""))}))"),"")</f>
        <v/>
      </c>
      <c r="D25" s="161"/>
      <c r="E25" s="161"/>
      <c r="F25" s="161"/>
      <c r="G25" s="170"/>
      <c r="H25" s="111"/>
      <c r="I25" s="181" t="str">
        <f>IFERROR(__xludf.DUMMYFUNCTION("""COMPUTED_VALUE"""),"ARCKOOOOOOOOS")</f>
        <v>ARCKOOOOOOOOS</v>
      </c>
      <c r="J25" s="182" t="str">
        <f>IFERROR(__xludf.DUMMYFUNCTION("""COMPUTED_VALUE"""),"🔎 En observation")</f>
        <v>🔎 En observation</v>
      </c>
      <c r="K25" s="183">
        <f>IFERROR(__xludf.DUMMYFUNCTION("""COMPUTED_VALUE"""),2.0)</f>
        <v>2</v>
      </c>
      <c r="L25" s="184">
        <f>IFERROR(__xludf.DUMMYFUNCTION("""COMPUTED_VALUE"""),0.5)</f>
        <v>0.5</v>
      </c>
      <c r="M25" s="185">
        <f>IFERROR(__xludf.DUMMYFUNCTION("""COMPUTED_VALUE"""),1.0)</f>
        <v>1</v>
      </c>
      <c r="N25" s="186" t="str">
        <f>IFERROR(__xludf.DUMMYFUNCTION("""COMPUTED_VALUE"""),"Actif")</f>
        <v>Actif</v>
      </c>
      <c r="O25" s="111"/>
      <c r="P25" s="111"/>
      <c r="Q25" s="111"/>
      <c r="R25" s="111"/>
      <c r="S25" s="111"/>
      <c r="T25" s="111"/>
    </row>
    <row r="26" ht="18.0" customHeight="1">
      <c r="A26" s="111"/>
      <c r="B26" s="218" t="str">
        <f>IF(D18=0, "ℹ️ " &amp; C8 &amp; " n'a pas d'actions enregistrées sur la période J15-J16.", IF(D24&gt;=1, "🎉 Excellent : " &amp; C8 &amp; " dépasse la cible hebdomadaire de " &amp; TEXT(D24-1, "+0%") &amp; " !", IF(D24&gt;=0.7, "📈 Bon rythme pour " &amp; C8 &amp; " (" &amp; (D23-G23) &amp; " actions restantes pour boucler la cible).", "⚠️ Rythme modéré : déficit de " &amp; (D23-G23) &amp; " actions par rapport à la cible.")))</f>
        <v>⚠️ Rythme modéré : déficit de 119 actions par rapport à la cible.</v>
      </c>
      <c r="C26" s="177"/>
      <c r="D26" s="177"/>
      <c r="E26" s="177"/>
      <c r="F26" s="177"/>
      <c r="G26" s="199"/>
      <c r="H26" s="111"/>
      <c r="I26" s="181" t="str">
        <f>IFERROR(__xludf.DUMMYFUNCTION("""COMPUTED_VALUE"""),"Mwerte")</f>
        <v>Mwerte</v>
      </c>
      <c r="J26" s="182" t="str">
        <f>IFERROR(__xludf.DUMMYFUNCTION("""COMPUTED_VALUE"""),"🔎 En observation")</f>
        <v>🔎 En observation</v>
      </c>
      <c r="K26" s="183">
        <f>IFERROR(__xludf.DUMMYFUNCTION("""COMPUTED_VALUE"""),2.0)</f>
        <v>2</v>
      </c>
      <c r="L26" s="184">
        <f>IFERROR(__xludf.DUMMYFUNCTION("""COMPUTED_VALUE"""),0.5)</f>
        <v>0.5</v>
      </c>
      <c r="M26" s="185">
        <f>IFERROR(__xludf.DUMMYFUNCTION("""COMPUTED_VALUE"""),1.0)</f>
        <v>1</v>
      </c>
      <c r="N26" s="186" t="str">
        <f>IFERROR(__xludf.DUMMYFUNCTION("""COMPUTED_VALUE"""),"Actif")</f>
        <v>Actif</v>
      </c>
      <c r="O26" s="111"/>
      <c r="P26" s="111"/>
      <c r="Q26" s="111"/>
      <c r="R26" s="111"/>
      <c r="S26" s="111"/>
      <c r="T26" s="111"/>
    </row>
    <row r="27" ht="18.0" customHeight="1">
      <c r="A27" s="111"/>
      <c r="B27" s="111"/>
      <c r="C27" s="111"/>
      <c r="D27" s="111"/>
      <c r="E27" s="111"/>
      <c r="F27" s="111"/>
      <c r="G27" s="111"/>
      <c r="H27" s="111"/>
      <c r="I27" s="181" t="str">
        <f>IFERROR(__xludf.DUMMYFUNCTION("""COMPUTED_VALUE"""),"wissale_brk")</f>
        <v>wissale_brk</v>
      </c>
      <c r="J27" s="182" t="str">
        <f>IFERROR(__xludf.DUMMYFUNCTION("""COMPUTED_VALUE"""),"🔎 En observation")</f>
        <v>🔎 En observation</v>
      </c>
      <c r="K27" s="183">
        <f>IFERROR(__xludf.DUMMYFUNCTION("""COMPUTED_VALUE"""),2.0)</f>
        <v>2</v>
      </c>
      <c r="L27" s="184">
        <f>IFERROR(__xludf.DUMMYFUNCTION("""COMPUTED_VALUE"""),0.5)</f>
        <v>0.5</v>
      </c>
      <c r="M27" s="185">
        <f>IFERROR(__xludf.DUMMYFUNCTION("""COMPUTED_VALUE"""),1.0)</f>
        <v>1</v>
      </c>
      <c r="N27" s="186" t="str">
        <f>IFERROR(__xludf.DUMMYFUNCTION("""COMPUTED_VALUE"""),"Peu actif")</f>
        <v>Peu actif</v>
      </c>
      <c r="O27" s="111"/>
      <c r="P27" s="111"/>
      <c r="Q27" s="111"/>
      <c r="R27" s="111"/>
      <c r="S27" s="111"/>
      <c r="T27" s="111"/>
    </row>
    <row r="28" ht="18.0" customHeight="1">
      <c r="A28" s="111"/>
      <c r="B28" s="153" t="s">
        <v>134</v>
      </c>
      <c r="C28" s="154"/>
      <c r="D28" s="154"/>
      <c r="E28" s="154"/>
      <c r="F28" s="154"/>
      <c r="G28" s="155"/>
      <c r="H28" s="111"/>
      <c r="I28" s="181" t="str">
        <f>IFERROR(__xludf.DUMMYFUNCTION("""COMPUTED_VALUE"""),"spideradl")</f>
        <v>spideradl</v>
      </c>
      <c r="J28" s="182" t="str">
        <f>IFERROR(__xludf.DUMMYFUNCTION("""COMPUTED_VALUE"""),"🔎 En observation")</f>
        <v>🔎 En observation</v>
      </c>
      <c r="K28" s="183">
        <f>IFERROR(__xludf.DUMMYFUNCTION("""COMPUTED_VALUE"""),2.0)</f>
        <v>2</v>
      </c>
      <c r="L28" s="184">
        <f>IFERROR(__xludf.DUMMYFUNCTION("""COMPUTED_VALUE"""),0.5)</f>
        <v>0.5</v>
      </c>
      <c r="M28" s="185">
        <f>IFERROR(__xludf.DUMMYFUNCTION("""COMPUTED_VALUE"""),1.0)</f>
        <v>1</v>
      </c>
      <c r="N28" s="186" t="str">
        <f>IFERROR(__xludf.DUMMYFUNCTION("""COMPUTED_VALUE"""),"En observation")</f>
        <v>En observation</v>
      </c>
      <c r="O28" s="111"/>
      <c r="P28" s="111"/>
      <c r="Q28" s="111"/>
      <c r="R28" s="111"/>
      <c r="S28" s="111"/>
      <c r="T28" s="111"/>
    </row>
    <row r="29" ht="18.0" customHeight="1">
      <c r="A29" s="111"/>
      <c r="B29" s="219" t="s">
        <v>135</v>
      </c>
      <c r="C29" s="161"/>
      <c r="D29" s="161"/>
      <c r="E29" s="161"/>
      <c r="F29" s="161"/>
      <c r="G29" s="170"/>
      <c r="H29" s="111"/>
      <c r="I29" s="181" t="str">
        <f>IFERROR(__xludf.DUMMYFUNCTION("""COMPUTED_VALUE"""),"Phenicia10")</f>
        <v>Phenicia10</v>
      </c>
      <c r="J29" s="182" t="str">
        <f>IFERROR(__xludf.DUMMYFUNCTION("""COMPUTED_VALUE"""),"🔎 En observation")</f>
        <v>🔎 En observation</v>
      </c>
      <c r="K29" s="183">
        <f>IFERROR(__xludf.DUMMYFUNCTION("""COMPUTED_VALUE"""),1.0)</f>
        <v>1</v>
      </c>
      <c r="L29" s="184">
        <f>IFERROR(__xludf.DUMMYFUNCTION("""COMPUTED_VALUE"""),1.0)</f>
        <v>1</v>
      </c>
      <c r="M29" s="185">
        <f>IFERROR(__xludf.DUMMYFUNCTION("""COMPUTED_VALUE"""),0.0)</f>
        <v>0</v>
      </c>
      <c r="N29" s="186" t="str">
        <f>IFERROR(__xludf.DUMMYFUNCTION("""COMPUTED_VALUE"""),"Inactif")</f>
        <v>Inactif</v>
      </c>
      <c r="O29" s="111"/>
      <c r="P29" s="111"/>
      <c r="Q29" s="111"/>
      <c r="R29" s="111"/>
      <c r="S29" s="111"/>
      <c r="T29" s="111"/>
    </row>
    <row r="30" ht="18.0" customHeight="1">
      <c r="A30" s="111"/>
      <c r="B30" s="220" t="s">
        <v>136</v>
      </c>
      <c r="C30" s="161"/>
      <c r="D30" s="161"/>
      <c r="E30" s="161"/>
      <c r="F30" s="161"/>
      <c r="G30" s="170"/>
      <c r="H30" s="111"/>
      <c r="I30" s="181" t="str">
        <f>IFERROR(__xludf.DUMMYFUNCTION("""COMPUTED_VALUE"""),"TbKyronOxf")</f>
        <v>TbKyronOxf</v>
      </c>
      <c r="J30" s="182" t="str">
        <f>IFERROR(__xludf.DUMMYFUNCTION("""COMPUTED_VALUE"""),"🔎 En observation")</f>
        <v>🔎 En observation</v>
      </c>
      <c r="K30" s="183">
        <f>IFERROR(__xludf.DUMMYFUNCTION("""COMPUTED_VALUE"""),0.0)</f>
        <v>0</v>
      </c>
      <c r="L30" s="184">
        <f>IFERROR(__xludf.DUMMYFUNCTION("""COMPUTED_VALUE"""),0.5)</f>
        <v>0.5</v>
      </c>
      <c r="M30" s="185">
        <f>IFERROR(__xludf.DUMMYFUNCTION("""COMPUTED_VALUE"""),0.0)</f>
        <v>0</v>
      </c>
      <c r="N30" s="186" t="str">
        <f>IFERROR(__xludf.DUMMYFUNCTION("""COMPUTED_VALUE"""),"En observation")</f>
        <v>En observation</v>
      </c>
      <c r="O30" s="111"/>
      <c r="P30" s="111"/>
      <c r="Q30" s="111"/>
      <c r="R30" s="111"/>
      <c r="S30" s="111"/>
      <c r="T30" s="111"/>
    </row>
    <row r="31" ht="18.0" customHeight="1">
      <c r="A31" s="111"/>
      <c r="B31" s="221" t="s">
        <v>137</v>
      </c>
      <c r="C31" s="161"/>
      <c r="D31" s="161"/>
      <c r="E31" s="161"/>
      <c r="F31" s="161"/>
      <c r="G31" s="170"/>
      <c r="H31" s="111"/>
      <c r="I31" s="181" t="str">
        <f>IFERROR(__xludf.DUMMYFUNCTION("""COMPUTED_VALUE"""),"juuliiee__")</f>
        <v>juuliiee__</v>
      </c>
      <c r="J31" s="182" t="str">
        <f>IFERROR(__xludf.DUMMYFUNCTION("""COMPUTED_VALUE"""),"🔎 En observation")</f>
        <v>🔎 En observation</v>
      </c>
      <c r="K31" s="183">
        <f>IFERROR(__xludf.DUMMYFUNCTION("""COMPUTED_VALUE"""),0.0)</f>
        <v>0</v>
      </c>
      <c r="L31" s="184">
        <f>IFERROR(__xludf.DUMMYFUNCTION("""COMPUTED_VALUE"""),0.5)</f>
        <v>0.5</v>
      </c>
      <c r="M31" s="185">
        <f>IFERROR(__xludf.DUMMYFUNCTION("""COMPUTED_VALUE"""),0.0)</f>
        <v>0</v>
      </c>
      <c r="N31" s="186" t="str">
        <f>IFERROR(__xludf.DUMMYFUNCTION("""COMPUTED_VALUE"""),"Peu actif")</f>
        <v>Peu actif</v>
      </c>
      <c r="O31" s="111"/>
      <c r="P31" s="111"/>
      <c r="Q31" s="111"/>
      <c r="R31" s="111"/>
      <c r="S31" s="111"/>
      <c r="T31" s="111"/>
    </row>
    <row r="32" ht="18.0" customHeight="1">
      <c r="A32" s="111"/>
      <c r="B32" s="222" t="s">
        <v>138</v>
      </c>
      <c r="C32" s="161"/>
      <c r="D32" s="161"/>
      <c r="E32" s="161"/>
      <c r="F32" s="161"/>
      <c r="G32" s="170"/>
      <c r="H32" s="111"/>
      <c r="I32" s="181" t="str">
        <f>IFERROR(__xludf.DUMMYFUNCTION("""COMPUTED_VALUE"""),"Lizukiii")</f>
        <v>Lizukiii</v>
      </c>
      <c r="J32" s="182" t="str">
        <f>IFERROR(__xludf.DUMMYFUNCTION("""COMPUTED_VALUE"""),"🔎 En observation")</f>
        <v>🔎 En observation</v>
      </c>
      <c r="K32" s="183">
        <f>IFERROR(__xludf.DUMMYFUNCTION("""COMPUTED_VALUE"""),0.0)</f>
        <v>0</v>
      </c>
      <c r="L32" s="184">
        <f>IFERROR(__xludf.DUMMYFUNCTION("""COMPUTED_VALUE"""),0.5)</f>
        <v>0.5</v>
      </c>
      <c r="M32" s="185">
        <f>IFERROR(__xludf.DUMMYFUNCTION("""COMPUTED_VALUE"""),0.0)</f>
        <v>0</v>
      </c>
      <c r="N32" s="186" t="str">
        <f>IFERROR(__xludf.DUMMYFUNCTION("""COMPUTED_VALUE"""),"Inactif")</f>
        <v>Inactif</v>
      </c>
      <c r="O32" s="111"/>
      <c r="P32" s="111"/>
      <c r="Q32" s="111"/>
      <c r="R32" s="111"/>
      <c r="S32" s="111"/>
      <c r="T32" s="111"/>
    </row>
    <row r="33" ht="18.0" customHeight="1">
      <c r="A33" s="111"/>
      <c r="B33" s="223" t="s">
        <v>139</v>
      </c>
      <c r="C33" s="161"/>
      <c r="D33" s="161"/>
      <c r="E33" s="161"/>
      <c r="F33" s="161"/>
      <c r="G33" s="170"/>
      <c r="H33" s="111"/>
      <c r="I33" s="224" t="str">
        <f>IFERROR(__xludf.DUMMYFUNCTION("""COMPUTED_VALUE"""),"alizee05_")</f>
        <v>alizee05_</v>
      </c>
      <c r="J33" s="225" t="str">
        <f>IFERROR(__xludf.DUMMYFUNCTION("""COMPUTED_VALUE"""),"🔎 En observation")</f>
        <v>🔎 En observation</v>
      </c>
      <c r="K33" s="226">
        <f>IFERROR(__xludf.DUMMYFUNCTION("""COMPUTED_VALUE"""),0.0)</f>
        <v>0</v>
      </c>
      <c r="L33" s="227">
        <f>IFERROR(__xludf.DUMMYFUNCTION("""COMPUTED_VALUE"""),0.5)</f>
        <v>0.5</v>
      </c>
      <c r="M33" s="228">
        <f>IFERROR(__xludf.DUMMYFUNCTION("""COMPUTED_VALUE"""),0.0)</f>
        <v>0</v>
      </c>
      <c r="N33" s="229" t="str">
        <f>IFERROR(__xludf.DUMMYFUNCTION("""COMPUTED_VALUE"""),"Inactif")</f>
        <v>Inactif</v>
      </c>
      <c r="O33" s="111"/>
      <c r="P33" s="111"/>
      <c r="Q33" s="111"/>
      <c r="R33" s="111"/>
      <c r="S33" s="111"/>
      <c r="T33" s="111"/>
    </row>
    <row r="34" ht="18.0" customHeight="1">
      <c r="A34" s="111"/>
      <c r="B34" s="230" t="s">
        <v>140</v>
      </c>
      <c r="C34" s="161"/>
      <c r="D34" s="161"/>
      <c r="E34" s="161"/>
      <c r="F34" s="161"/>
      <c r="G34" s="170"/>
      <c r="H34" s="111"/>
      <c r="I34" s="224" t="str">
        <f>IFERROR(__xludf.DUMMYFUNCTION("""COMPUTED_VALUE"""),"Nico_la")</f>
        <v>Nico_la</v>
      </c>
      <c r="J34" s="225" t="str">
        <f>IFERROR(__xludf.DUMMYFUNCTION("""COMPUTED_VALUE"""),"🔎 En observation")</f>
        <v>🔎 En observation</v>
      </c>
      <c r="K34" s="226">
        <f>IFERROR(__xludf.DUMMYFUNCTION("""COMPUTED_VALUE"""),0.0)</f>
        <v>0</v>
      </c>
      <c r="L34" s="227">
        <f>IFERROR(__xludf.DUMMYFUNCTION("""COMPUTED_VALUE"""),0.5)</f>
        <v>0.5</v>
      </c>
      <c r="M34" s="228">
        <f>IFERROR(__xludf.DUMMYFUNCTION("""COMPUTED_VALUE"""),0.0)</f>
        <v>0</v>
      </c>
      <c r="N34" s="229" t="str">
        <f>IFERROR(__xludf.DUMMYFUNCTION("""COMPUTED_VALUE"""),"Peu actif")</f>
        <v>Peu actif</v>
      </c>
      <c r="O34" s="111"/>
      <c r="P34" s="111"/>
      <c r="Q34" s="111"/>
      <c r="R34" s="111"/>
      <c r="S34" s="111"/>
      <c r="T34" s="111"/>
    </row>
    <row r="35" ht="18.0" customHeight="1">
      <c r="A35" s="111"/>
      <c r="B35" s="231" t="s">
        <v>141</v>
      </c>
      <c r="C35" s="177"/>
      <c r="D35" s="177"/>
      <c r="E35" s="177"/>
      <c r="F35" s="177"/>
      <c r="G35" s="199"/>
      <c r="H35" s="111"/>
      <c r="I35" s="224" t="str">
        <f>IFERROR(__xludf.DUMMYFUNCTION("""COMPUTED_VALUE"""),"samol1t0")</f>
        <v>samol1t0</v>
      </c>
      <c r="J35" s="225" t="str">
        <f>IFERROR(__xludf.DUMMYFUNCTION("""COMPUTED_VALUE"""),"🔎 En observation")</f>
        <v>🔎 En observation</v>
      </c>
      <c r="K35" s="226">
        <f>IFERROR(__xludf.DUMMYFUNCTION("""COMPUTED_VALUE"""),0.0)</f>
        <v>0</v>
      </c>
      <c r="L35" s="227">
        <f>IFERROR(__xludf.DUMMYFUNCTION("""COMPUTED_VALUE"""),0.5)</f>
        <v>0.5</v>
      </c>
      <c r="M35" s="228">
        <f>IFERROR(__xludf.DUMMYFUNCTION("""COMPUTED_VALUE"""),0.0)</f>
        <v>0</v>
      </c>
      <c r="N35" s="229" t="str">
        <f>IFERROR(__xludf.DUMMYFUNCTION("""COMPUTED_VALUE"""),"Inactif")</f>
        <v>Inactif</v>
      </c>
      <c r="O35" s="111"/>
      <c r="P35" s="111"/>
      <c r="Q35" s="111"/>
      <c r="R35" s="111"/>
      <c r="S35" s="111"/>
      <c r="T35" s="111"/>
    </row>
    <row r="36" ht="18.0" customHeight="1">
      <c r="A36" s="111"/>
      <c r="B36" s="232"/>
      <c r="G36" s="233"/>
      <c r="H36" s="111"/>
      <c r="I36" s="224" t="str">
        <f>IFERROR(__xludf.DUMMYFUNCTION("""COMPUTED_VALUE"""),"LeBob_tv")</f>
        <v>LeBob_tv</v>
      </c>
      <c r="J36" s="225" t="str">
        <f>IFERROR(__xludf.DUMMYFUNCTION("""COMPUTED_VALUE"""),"🔎 En observation")</f>
        <v>🔎 En observation</v>
      </c>
      <c r="K36" s="226">
        <f>IFERROR(__xludf.DUMMYFUNCTION("""COMPUTED_VALUE"""),0.0)</f>
        <v>0</v>
      </c>
      <c r="L36" s="227">
        <f>IFERROR(__xludf.DUMMYFUNCTION("""COMPUTED_VALUE"""),0.5)</f>
        <v>0.5</v>
      </c>
      <c r="M36" s="228">
        <f>IFERROR(__xludf.DUMMYFUNCTION("""COMPUTED_VALUE"""),0.0)</f>
        <v>0</v>
      </c>
      <c r="N36" s="229" t="str">
        <f>IFERROR(__xludf.DUMMYFUNCTION("""COMPUTED_VALUE"""),"Peu actif")</f>
        <v>Peu actif</v>
      </c>
      <c r="O36" s="111"/>
      <c r="P36" s="111"/>
      <c r="Q36" s="111"/>
      <c r="R36" s="111"/>
      <c r="S36" s="111"/>
      <c r="T36" s="111"/>
    </row>
    <row r="37" ht="18.0" customHeight="1">
      <c r="A37" s="111"/>
      <c r="B37" s="234"/>
      <c r="G37" s="233"/>
      <c r="H37" s="111"/>
      <c r="I37" s="224" t="str">
        <f>IFERROR(__xludf.DUMMYFUNCTION("""COMPUTED_VALUE"""),"lenasticot")</f>
        <v>lenasticot</v>
      </c>
      <c r="J37" s="225" t="str">
        <f>IFERROR(__xludf.DUMMYFUNCTION("""COMPUTED_VALUE"""),"⚠️ Danger fantôme")</f>
        <v>⚠️ Danger fantôme</v>
      </c>
      <c r="K37" s="226">
        <f>IFERROR(__xludf.DUMMYFUNCTION("""COMPUTED_VALUE"""),-2.0)</f>
        <v>-2</v>
      </c>
      <c r="L37" s="227">
        <f>IFERROR(__xludf.DUMMYFUNCTION("""COMPUTED_VALUE"""),0.0)</f>
        <v>0</v>
      </c>
      <c r="M37" s="228">
        <f>IFERROR(__xludf.DUMMYFUNCTION("""COMPUTED_VALUE"""),0.0)</f>
        <v>0</v>
      </c>
      <c r="N37" s="229" t="str">
        <f>IFERROR(__xludf.DUMMYFUNCTION("""COMPUTED_VALUE"""),"Inactif")</f>
        <v>Inactif</v>
      </c>
      <c r="O37" s="111"/>
      <c r="P37" s="111"/>
      <c r="Q37" s="111"/>
      <c r="R37" s="111"/>
      <c r="S37" s="111"/>
      <c r="T37" s="111"/>
    </row>
    <row r="38" ht="18.0" customHeight="1">
      <c r="A38" s="111"/>
      <c r="B38" s="235"/>
      <c r="G38" s="233"/>
      <c r="H38" s="111"/>
      <c r="I38" s="224" t="str">
        <f>IFERROR(__xludf.DUMMYFUNCTION("""COMPUTED_VALUE"""),"pnj_rizou")</f>
        <v>pnj_rizou</v>
      </c>
      <c r="J38" s="225" t="str">
        <f>IFERROR(__xludf.DUMMYFUNCTION("""COMPUTED_VALUE"""),"⚠️ Danger fantôme")</f>
        <v>⚠️ Danger fantôme</v>
      </c>
      <c r="K38" s="226">
        <f>IFERROR(__xludf.DUMMYFUNCTION("""COMPUTED_VALUE"""),-2.0)</f>
        <v>-2</v>
      </c>
      <c r="L38" s="227">
        <f>IFERROR(__xludf.DUMMYFUNCTION("""COMPUTED_VALUE"""),0.0)</f>
        <v>0</v>
      </c>
      <c r="M38" s="228">
        <f>IFERROR(__xludf.DUMMYFUNCTION("""COMPUTED_VALUE"""),0.0)</f>
        <v>0</v>
      </c>
      <c r="N38" s="229" t="str">
        <f>IFERROR(__xludf.DUMMYFUNCTION("""COMPUTED_VALUE"""),"Peu actif")</f>
        <v>Peu actif</v>
      </c>
      <c r="O38" s="111"/>
      <c r="P38" s="111"/>
      <c r="Q38" s="111"/>
      <c r="R38" s="111"/>
      <c r="S38" s="111"/>
      <c r="T38" s="111"/>
    </row>
    <row r="39" ht="18.0" customHeight="1">
      <c r="A39" s="111"/>
      <c r="B39" s="234"/>
      <c r="G39" s="233"/>
      <c r="H39" s="111"/>
      <c r="I39" s="224" t="str">
        <f>IFERROR(__xludf.DUMMYFUNCTION("""COMPUTED_VALUE"""),"bistourii69")</f>
        <v>bistourii69</v>
      </c>
      <c r="J39" s="225" t="str">
        <f>IFERROR(__xludf.DUMMYFUNCTION("""COMPUTED_VALUE"""),"⚠️ Danger fantôme")</f>
        <v>⚠️ Danger fantôme</v>
      </c>
      <c r="K39" s="226">
        <f>IFERROR(__xludf.DUMMYFUNCTION("""COMPUTED_VALUE"""),-2.0)</f>
        <v>-2</v>
      </c>
      <c r="L39" s="227">
        <f>IFERROR(__xludf.DUMMYFUNCTION("""COMPUTED_VALUE"""),0.0)</f>
        <v>0</v>
      </c>
      <c r="M39" s="228">
        <f>IFERROR(__xludf.DUMMYFUNCTION("""COMPUTED_VALUE"""),0.0)</f>
        <v>0</v>
      </c>
      <c r="N39" s="229" t="str">
        <f>IFERROR(__xludf.DUMMYFUNCTION("""COMPUTED_VALUE"""),"En observation")</f>
        <v>En observation</v>
      </c>
      <c r="O39" s="111"/>
      <c r="P39" s="111"/>
      <c r="Q39" s="111"/>
      <c r="R39" s="111"/>
      <c r="S39" s="111"/>
      <c r="T39" s="111"/>
    </row>
    <row r="40" ht="18.0" customHeight="1">
      <c r="A40" s="111"/>
      <c r="B40" s="236"/>
      <c r="G40" s="233"/>
      <c r="H40" s="111"/>
      <c r="I40" s="224" t="str">
        <f>IFERROR(__xludf.DUMMYFUNCTION("""COMPUTED_VALUE"""),"issac_45s")</f>
        <v>issac_45s</v>
      </c>
      <c r="J40" s="225" t="str">
        <f>IFERROR(__xludf.DUMMYFUNCTION("""COMPUTED_VALUE"""),"⚠️ Danger fantôme")</f>
        <v>⚠️ Danger fantôme</v>
      </c>
      <c r="K40" s="226">
        <f>IFERROR(__xludf.DUMMYFUNCTION("""COMPUTED_VALUE"""),-2.0)</f>
        <v>-2</v>
      </c>
      <c r="L40" s="227">
        <f>IFERROR(__xludf.DUMMYFUNCTION("""COMPUTED_VALUE"""),0.0)</f>
        <v>0</v>
      </c>
      <c r="M40" s="228">
        <f>IFERROR(__xludf.DUMMYFUNCTION("""COMPUTED_VALUE"""),0.0)</f>
        <v>0</v>
      </c>
      <c r="N40" s="229" t="str">
        <f>IFERROR(__xludf.DUMMYFUNCTION("""COMPUTED_VALUE"""),"Absence prolongée")</f>
        <v>Absence prolongée</v>
      </c>
      <c r="O40" s="111"/>
      <c r="P40" s="111"/>
      <c r="Q40" s="111"/>
      <c r="R40" s="111"/>
      <c r="S40" s="111"/>
      <c r="T40" s="111"/>
    </row>
    <row r="41" ht="18.0" customHeight="1">
      <c r="A41" s="111"/>
      <c r="B41" s="237"/>
      <c r="G41" s="233"/>
      <c r="H41" s="111"/>
      <c r="I41" s="224" t="str">
        <f>IFERROR(__xludf.DUMMYFUNCTION("""COMPUTED_VALUE"""),"Vropext")</f>
        <v>Vropext</v>
      </c>
      <c r="J41" s="225" t="str">
        <f>IFERROR(__xludf.DUMMYFUNCTION("""COMPUTED_VALUE"""),"⚠️ Danger fantôme")</f>
        <v>⚠️ Danger fantôme</v>
      </c>
      <c r="K41" s="226">
        <f>IFERROR(__xludf.DUMMYFUNCTION("""COMPUTED_VALUE"""),-2.0)</f>
        <v>-2</v>
      </c>
      <c r="L41" s="227">
        <f>IFERROR(__xludf.DUMMYFUNCTION("""COMPUTED_VALUE"""),0.0)</f>
        <v>0</v>
      </c>
      <c r="M41" s="228">
        <f>IFERROR(__xludf.DUMMYFUNCTION("""COMPUTED_VALUE"""),0.0)</f>
        <v>0</v>
      </c>
      <c r="N41" s="229" t="str">
        <f>IFERROR(__xludf.DUMMYFUNCTION("""COMPUTED_VALUE"""),"Inactif")</f>
        <v>Inactif</v>
      </c>
      <c r="O41" s="111"/>
      <c r="P41" s="111"/>
      <c r="Q41" s="111"/>
      <c r="R41" s="111"/>
      <c r="S41" s="111"/>
      <c r="T41" s="111"/>
    </row>
    <row r="42" ht="18.0" customHeight="1">
      <c r="A42" s="111"/>
      <c r="B42" s="238"/>
      <c r="C42" s="239"/>
      <c r="D42" s="239"/>
      <c r="E42" s="239"/>
      <c r="F42" s="239"/>
      <c r="G42" s="240"/>
      <c r="H42" s="111"/>
      <c r="I42" s="224" t="str">
        <f>IFERROR(__xludf.DUMMYFUNCTION("""COMPUTED_VALUE"""),"Navidlakers")</f>
        <v>Navidlakers</v>
      </c>
      <c r="J42" s="225" t="str">
        <f>IFERROR(__xludf.DUMMYFUNCTION("""COMPUTED_VALUE"""),"⚠️ Danger fantôme")</f>
        <v>⚠️ Danger fantôme</v>
      </c>
      <c r="K42" s="226">
        <f>IFERROR(__xludf.DUMMYFUNCTION("""COMPUTED_VALUE"""),-2.0)</f>
        <v>-2</v>
      </c>
      <c r="L42" s="227">
        <f>IFERROR(__xludf.DUMMYFUNCTION("""COMPUTED_VALUE"""),0.0)</f>
        <v>0</v>
      </c>
      <c r="M42" s="228">
        <f>IFERROR(__xludf.DUMMYFUNCTION("""COMPUTED_VALUE"""),0.0)</f>
        <v>0</v>
      </c>
      <c r="N42" s="229" t="str">
        <f>IFERROR(__xludf.DUMMYFUNCTION("""COMPUTED_VALUE"""),"Inactif")</f>
        <v>Inactif</v>
      </c>
      <c r="O42" s="111"/>
      <c r="P42" s="111"/>
      <c r="Q42" s="111"/>
      <c r="R42" s="111"/>
      <c r="S42" s="111"/>
      <c r="T42" s="111"/>
    </row>
    <row r="43" ht="18.0" customHeight="1">
      <c r="A43" s="111"/>
      <c r="B43" s="111"/>
      <c r="C43" s="111"/>
      <c r="D43" s="111"/>
      <c r="E43" s="111"/>
      <c r="F43" s="111"/>
      <c r="G43" s="111"/>
      <c r="H43" s="111"/>
      <c r="I43" s="224" t="str">
        <f>IFERROR(__xludf.DUMMYFUNCTION("""COMPUTED_VALUE"""),"zeerty667")</f>
        <v>zeerty667</v>
      </c>
      <c r="J43" s="225" t="str">
        <f>IFERROR(__xludf.DUMMYFUNCTION("""COMPUTED_VALUE"""),"⚠️ Danger fantôme")</f>
        <v>⚠️ Danger fantôme</v>
      </c>
      <c r="K43" s="226">
        <f>IFERROR(__xludf.DUMMYFUNCTION("""COMPUTED_VALUE"""),-2.0)</f>
        <v>-2</v>
      </c>
      <c r="L43" s="227">
        <f>IFERROR(__xludf.DUMMYFUNCTION("""COMPUTED_VALUE"""),0.0)</f>
        <v>0</v>
      </c>
      <c r="M43" s="228">
        <f>IFERROR(__xludf.DUMMYFUNCTION("""COMPUTED_VALUE"""),0.0)</f>
        <v>0</v>
      </c>
      <c r="N43" s="229" t="str">
        <f>IFERROR(__xludf.DUMMYFUNCTION("""COMPUTED_VALUE"""),"Inactif")</f>
        <v>Inactif</v>
      </c>
      <c r="O43" s="111"/>
      <c r="P43" s="111"/>
      <c r="Q43" s="111"/>
      <c r="R43" s="111"/>
      <c r="S43" s="111"/>
      <c r="T43" s="111"/>
    </row>
    <row r="44" ht="18.0" customHeight="1">
      <c r="A44" s="111"/>
      <c r="B44" s="111"/>
      <c r="C44" s="111"/>
      <c r="D44" s="111"/>
      <c r="E44" s="111"/>
      <c r="F44" s="111"/>
      <c r="G44" s="111"/>
      <c r="H44" s="111"/>
      <c r="I44" s="224" t="str">
        <f>IFERROR(__xludf.DUMMYFUNCTION("""COMPUTED_VALUE"""),"seraly_")</f>
        <v>seraly_</v>
      </c>
      <c r="J44" s="225" t="str">
        <f>IFERROR(__xludf.DUMMYFUNCTION("""COMPUTED_VALUE"""),"⚠️ Danger fantôme")</f>
        <v>⚠️ Danger fantôme</v>
      </c>
      <c r="K44" s="226">
        <f>IFERROR(__xludf.DUMMYFUNCTION("""COMPUTED_VALUE"""),-2.0)</f>
        <v>-2</v>
      </c>
      <c r="L44" s="227">
        <f>IFERROR(__xludf.DUMMYFUNCTION("""COMPUTED_VALUE"""),0.0)</f>
        <v>0</v>
      </c>
      <c r="M44" s="228">
        <f>IFERROR(__xludf.DUMMYFUNCTION("""COMPUTED_VALUE"""),0.0)</f>
        <v>0</v>
      </c>
      <c r="N44" s="229" t="str">
        <f>IFERROR(__xludf.DUMMYFUNCTION("""COMPUTED_VALUE"""),"Inactif")</f>
        <v>Inactif</v>
      </c>
      <c r="O44" s="111"/>
      <c r="P44" s="111"/>
      <c r="Q44" s="111"/>
      <c r="R44" s="111"/>
      <c r="S44" s="111"/>
      <c r="T44" s="111"/>
    </row>
    <row r="45" ht="18.0" customHeight="1">
      <c r="A45" s="111"/>
      <c r="B45" s="111"/>
      <c r="C45" s="111"/>
      <c r="D45" s="111"/>
      <c r="E45" s="111"/>
      <c r="F45" s="111"/>
      <c r="G45" s="111"/>
      <c r="H45" s="111"/>
      <c r="I45" s="224" t="str">
        <f>IFERROR(__xludf.DUMMYFUNCTION("""COMPUTED_VALUE"""),"rayaaannn_")</f>
        <v>rayaaannn_</v>
      </c>
      <c r="J45" s="225" t="str">
        <f>IFERROR(__xludf.DUMMYFUNCTION("""COMPUTED_VALUE"""),"⚠️ Danger fantôme")</f>
        <v>⚠️ Danger fantôme</v>
      </c>
      <c r="K45" s="226">
        <f>IFERROR(__xludf.DUMMYFUNCTION("""COMPUTED_VALUE"""),-2.0)</f>
        <v>-2</v>
      </c>
      <c r="L45" s="227">
        <f>IFERROR(__xludf.DUMMYFUNCTION("""COMPUTED_VALUE"""),0.0)</f>
        <v>0</v>
      </c>
      <c r="M45" s="228">
        <f>IFERROR(__xludf.DUMMYFUNCTION("""COMPUTED_VALUE"""),0.0)</f>
        <v>0</v>
      </c>
      <c r="N45" s="229" t="str">
        <f>IFERROR(__xludf.DUMMYFUNCTION("""COMPUTED_VALUE"""),"Inactif")</f>
        <v>Inactif</v>
      </c>
      <c r="O45" s="111"/>
      <c r="P45" s="111"/>
      <c r="Q45" s="111"/>
      <c r="R45" s="111"/>
      <c r="S45" s="111"/>
      <c r="T45" s="111"/>
    </row>
    <row r="46" ht="18.0" customHeight="1">
      <c r="A46" s="111"/>
      <c r="B46" s="111"/>
      <c r="C46" s="111"/>
      <c r="D46" s="111"/>
      <c r="E46" s="111"/>
      <c r="F46" s="111"/>
      <c r="G46" s="111"/>
      <c r="H46" s="111"/>
      <c r="I46" s="224" t="str">
        <f>IFERROR(__xludf.DUMMYFUNCTION("""COMPUTED_VALUE"""),"camilliaa_s")</f>
        <v>camilliaa_s</v>
      </c>
      <c r="J46" s="225" t="str">
        <f>IFERROR(__xludf.DUMMYFUNCTION("""COMPUTED_VALUE"""),"⚠️ Danger fantôme")</f>
        <v>⚠️ Danger fantôme</v>
      </c>
      <c r="K46" s="226">
        <f>IFERROR(__xludf.DUMMYFUNCTION("""COMPUTED_VALUE"""),-2.0)</f>
        <v>-2</v>
      </c>
      <c r="L46" s="227">
        <f>IFERROR(__xludf.DUMMYFUNCTION("""COMPUTED_VALUE"""),0.0)</f>
        <v>0</v>
      </c>
      <c r="M46" s="228">
        <f>IFERROR(__xludf.DUMMYFUNCTION("""COMPUTED_VALUE"""),0.0)</f>
        <v>0</v>
      </c>
      <c r="N46" s="229" t="str">
        <f>IFERROR(__xludf.DUMMYFUNCTION("""COMPUTED_VALUE"""),"Absence justifiée")</f>
        <v>Absence justifiée</v>
      </c>
      <c r="O46" s="111"/>
      <c r="P46" s="111"/>
      <c r="Q46" s="111"/>
      <c r="R46" s="111"/>
      <c r="S46" s="111"/>
      <c r="T46" s="111"/>
    </row>
    <row r="47" ht="18.0" customHeight="1">
      <c r="A47" s="111"/>
      <c r="B47" s="111"/>
      <c r="C47" s="111"/>
      <c r="D47" s="111"/>
      <c r="E47" s="111"/>
      <c r="F47" s="111"/>
      <c r="G47" s="111"/>
      <c r="H47" s="111"/>
      <c r="I47" s="241" t="str">
        <f>IFERROR(__xludf.DUMMYFUNCTION("""COMPUTED_VALUE"""),"Laucss")</f>
        <v>Laucss</v>
      </c>
      <c r="J47" s="242" t="str">
        <f>IFERROR(__xludf.DUMMYFUNCTION("""COMPUTED_VALUE"""),"⚠️ Danger fantôme")</f>
        <v>⚠️ Danger fantôme</v>
      </c>
      <c r="K47" s="243">
        <f>IFERROR(__xludf.DUMMYFUNCTION("""COMPUTED_VALUE"""),-2.0)</f>
        <v>-2</v>
      </c>
      <c r="L47" s="244">
        <f>IFERROR(__xludf.DUMMYFUNCTION("""COMPUTED_VALUE"""),0.0)</f>
        <v>0</v>
      </c>
      <c r="M47" s="245">
        <f>IFERROR(__xludf.DUMMYFUNCTION("""COMPUTED_VALUE"""),0.0)</f>
        <v>0</v>
      </c>
      <c r="N47" s="246" t="str">
        <f>IFERROR(__xludf.DUMMYFUNCTION("""COMPUTED_VALUE"""),"Inactif")</f>
        <v>Inactif</v>
      </c>
      <c r="O47" s="111"/>
      <c r="P47" s="111"/>
      <c r="Q47" s="111"/>
      <c r="R47" s="111"/>
      <c r="S47" s="111"/>
      <c r="T47" s="111"/>
    </row>
    <row r="48" ht="18.0" customHeight="1">
      <c r="A48" s="111"/>
      <c r="B48" s="111"/>
      <c r="C48" s="111"/>
      <c r="D48" s="111"/>
      <c r="E48" s="111"/>
      <c r="F48" s="111"/>
      <c r="G48" s="111"/>
      <c r="H48" s="111"/>
      <c r="I48" s="247"/>
      <c r="J48" s="248"/>
      <c r="K48" s="249"/>
      <c r="L48" s="250"/>
      <c r="M48" s="251"/>
      <c r="N48" s="252"/>
      <c r="O48" s="111"/>
      <c r="P48" s="111"/>
      <c r="Q48" s="111"/>
      <c r="R48" s="111"/>
      <c r="S48" s="111"/>
      <c r="T48" s="111"/>
    </row>
    <row r="49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</row>
    <row r="50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</row>
    <row r="51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</row>
    <row r="52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</row>
    <row r="53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</row>
    <row r="54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</row>
    <row r="55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</row>
    <row r="56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</row>
    <row r="57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</row>
    <row r="58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</row>
    <row r="59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</row>
    <row r="60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</row>
    <row r="61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</row>
    <row r="62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</row>
    <row r="63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</row>
    <row r="64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</row>
    <row r="65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</row>
    <row r="66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</row>
    <row r="67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</row>
    <row r="68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</row>
    <row r="69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</row>
    <row r="70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</row>
    <row r="7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</row>
    <row r="72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</row>
    <row r="73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</row>
    <row r="74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</row>
    <row r="75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</row>
    <row r="76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</row>
    <row r="77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</row>
    <row r="78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</row>
    <row r="79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</row>
    <row r="80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</row>
  </sheetData>
  <mergeCells count="63">
    <mergeCell ref="B35:G35"/>
    <mergeCell ref="B36:G36"/>
    <mergeCell ref="B37:G37"/>
    <mergeCell ref="B38:G38"/>
    <mergeCell ref="B39:G39"/>
    <mergeCell ref="B40:G40"/>
    <mergeCell ref="B41:G42"/>
    <mergeCell ref="B28:G28"/>
    <mergeCell ref="B29:G29"/>
    <mergeCell ref="B30:G30"/>
    <mergeCell ref="B31:G31"/>
    <mergeCell ref="B32:G32"/>
    <mergeCell ref="B33:G33"/>
    <mergeCell ref="B34:G34"/>
    <mergeCell ref="B1:N1"/>
    <mergeCell ref="B2:N2"/>
    <mergeCell ref="D3:E3"/>
    <mergeCell ref="F3:G3"/>
    <mergeCell ref="H3:I3"/>
    <mergeCell ref="J3:K3"/>
    <mergeCell ref="L3:N3"/>
    <mergeCell ref="B3:C3"/>
    <mergeCell ref="B4:C4"/>
    <mergeCell ref="D4:E4"/>
    <mergeCell ref="F4:G4"/>
    <mergeCell ref="H4:I4"/>
    <mergeCell ref="J4:K4"/>
    <mergeCell ref="L4:N4"/>
    <mergeCell ref="B5:C5"/>
    <mergeCell ref="D5:E5"/>
    <mergeCell ref="F5:G5"/>
    <mergeCell ref="H5:I5"/>
    <mergeCell ref="J5:K5"/>
    <mergeCell ref="L5:N5"/>
    <mergeCell ref="I7:N7"/>
    <mergeCell ref="B7:G7"/>
    <mergeCell ref="C8:D8"/>
    <mergeCell ref="I8:J8"/>
    <mergeCell ref="K8:N8"/>
    <mergeCell ref="B9:C9"/>
    <mergeCell ref="D9:G9"/>
    <mergeCell ref="D10:G10"/>
    <mergeCell ref="B10:C10"/>
    <mergeCell ref="B11:C11"/>
    <mergeCell ref="E11:F11"/>
    <mergeCell ref="B12:G12"/>
    <mergeCell ref="F13:G13"/>
    <mergeCell ref="F14:G14"/>
    <mergeCell ref="C15:G15"/>
    <mergeCell ref="C16:G16"/>
    <mergeCell ref="B17:G17"/>
    <mergeCell ref="B18:C18"/>
    <mergeCell ref="E18:F18"/>
    <mergeCell ref="E19:G19"/>
    <mergeCell ref="E20:G20"/>
    <mergeCell ref="C21:G21"/>
    <mergeCell ref="B22:G22"/>
    <mergeCell ref="B23:C23"/>
    <mergeCell ref="E23:F23"/>
    <mergeCell ref="B24:C24"/>
    <mergeCell ref="E24:F24"/>
    <mergeCell ref="C25:G25"/>
    <mergeCell ref="B26:G26"/>
  </mergeCells>
  <dataValidations>
    <dataValidation type="list" allowBlank="1" showErrorMessage="1" sqref="I8">
      <formula1>"TOUS,👑 Top Modo,⭐ Modo Actif,🔎 En observation,⚠️ Danger fantôme"</formula1>
    </dataValidation>
    <dataValidation type="list" allowBlank="1" showErrorMessage="1" sqref="C8">
      <formula1>'Feuille 1'!$A$2:$A$39</formula1>
    </dataValidation>
    <dataValidation type="list" allowBlank="1" showErrorMessage="1" sqref="D23">
      <formula1>"100,150,200,250,300,400,500"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7.63"/>
    <col customWidth="1" min="2" max="6" width="15.13"/>
    <col customWidth="1" min="7" max="7" width="18.88"/>
    <col customWidth="1" min="8" max="9" width="17.63"/>
  </cols>
  <sheetData>
    <row r="1" ht="27.0" customHeight="1">
      <c r="A1" s="112">
        <v>0.0</v>
      </c>
    </row>
    <row r="2" ht="18.0" customHeight="1">
      <c r="A2" s="253" t="s">
        <v>142</v>
      </c>
      <c r="B2" s="254" t="s">
        <v>143</v>
      </c>
      <c r="C2" s="118"/>
      <c r="D2" s="123" t="s">
        <v>144</v>
      </c>
      <c r="E2" s="124"/>
      <c r="F2" s="125" t="s">
        <v>145</v>
      </c>
      <c r="G2" s="127"/>
      <c r="H2" s="119" t="s">
        <v>146</v>
      </c>
      <c r="I2" s="120"/>
    </row>
    <row r="3" ht="25.5" customHeight="1">
      <c r="A3" s="255"/>
      <c r="B3" s="256">
        <f>$E$44</f>
        <v>784</v>
      </c>
      <c r="C3" s="131"/>
      <c r="D3" s="257">
        <f>$F$44</f>
        <v>392</v>
      </c>
      <c r="E3" s="137"/>
      <c r="F3" s="258" t="str">
        <f t="array" ref="F3">INDEX(A6:A43, MATCH(MAX(E6:E43), E6:E43, 0))</f>
        <v>jawad_4k</v>
      </c>
      <c r="G3" s="259"/>
      <c r="H3" s="132">
        <f>COUNTIF(E6:E43, "&gt;0")</f>
        <v>27</v>
      </c>
      <c r="I3" s="133"/>
    </row>
    <row r="4" ht="16.5" customHeight="1">
      <c r="A4" s="260"/>
      <c r="B4" s="261" t="s">
        <v>147</v>
      </c>
      <c r="C4" s="131"/>
      <c r="D4" s="262" t="s">
        <v>148</v>
      </c>
      <c r="E4" s="137"/>
      <c r="F4" s="263" t="str">
        <f>MAX(E6:E43) &amp; " actions cumulées"</f>
        <v>175 actions cumulées</v>
      </c>
      <c r="G4" s="259"/>
      <c r="H4" s="264" t="str">
        <f>"sur " &amp; COUNTA(A6:A43) &amp; " membres (taux: " &amp; TEXT(COUNTIF(E6:E43, "&gt;0")/COUNTA(A6:A43), "0,0%") &amp; ")"</f>
        <v>sur 38 membres (taux: 71%)</v>
      </c>
      <c r="I4" s="133"/>
    </row>
    <row r="5" ht="24.0" customHeight="1">
      <c r="A5" s="265" t="s">
        <v>73</v>
      </c>
      <c r="B5" s="266" t="s">
        <v>4</v>
      </c>
      <c r="C5" s="266" t="s">
        <v>5</v>
      </c>
      <c r="D5" s="266" t="s">
        <v>6</v>
      </c>
      <c r="E5" s="266" t="s">
        <v>149</v>
      </c>
      <c r="F5" s="266" t="s">
        <v>150</v>
      </c>
      <c r="G5" s="267" t="s">
        <v>151</v>
      </c>
      <c r="H5" s="268" t="s">
        <v>152</v>
      </c>
      <c r="I5" s="269" t="s">
        <v>153</v>
      </c>
    </row>
    <row r="6" ht="18.75" customHeight="1">
      <c r="A6" s="270" t="s">
        <v>29</v>
      </c>
      <c r="B6" s="271">
        <v>0.0</v>
      </c>
      <c r="C6" s="271">
        <v>0.0</v>
      </c>
      <c r="D6" s="271">
        <v>0.0</v>
      </c>
      <c r="E6" s="183">
        <f t="shared" ref="E6:E43" si="1">SUM(B6:C6)</f>
        <v>0</v>
      </c>
      <c r="F6" s="272">
        <f t="shared" ref="F6:F44" si="2">ROUND(AVERAGE(B6:C6), 1)</f>
        <v>0</v>
      </c>
      <c r="G6" s="273" t="str">
        <f>IFERROR(__xludf.DUMMYFUNCTION("IF(AND(B6=0, C6=0), ""—"", SPARKLINE(B6:C6, {""charttype"",""column""; ""color"",""#3B82F6""; ""ymin"",0}))"),"—")</f>
        <v>—</v>
      </c>
      <c r="H6" s="274" t="s">
        <v>4</v>
      </c>
      <c r="I6" s="275">
        <f>B44</f>
        <v>315</v>
      </c>
    </row>
    <row r="7" ht="18.75" customHeight="1">
      <c r="A7" s="276" t="s">
        <v>31</v>
      </c>
      <c r="B7" s="277">
        <v>2.0</v>
      </c>
      <c r="C7" s="277">
        <v>10.0</v>
      </c>
      <c r="D7" s="277">
        <v>0.0</v>
      </c>
      <c r="E7" s="278">
        <f t="shared" si="1"/>
        <v>12</v>
      </c>
      <c r="F7" s="279">
        <f t="shared" si="2"/>
        <v>6</v>
      </c>
      <c r="G7" s="280" t="str">
        <f>IFERROR(__xludf.DUMMYFUNCTION("IF(AND(B7=0, C7=0), ""—"", SPARKLINE(B7:C7, {""charttype"",""column""; ""color"",""#3B82F6""; ""ymin"",0}))"),"")</f>
        <v/>
      </c>
      <c r="H7" s="274" t="s">
        <v>5</v>
      </c>
      <c r="I7" s="275">
        <f>C44</f>
        <v>469</v>
      </c>
    </row>
    <row r="8" ht="18.75" customHeight="1">
      <c r="A8" s="270" t="s">
        <v>34</v>
      </c>
      <c r="B8" s="271">
        <v>4.0</v>
      </c>
      <c r="C8" s="271">
        <v>19.0</v>
      </c>
      <c r="D8" s="271">
        <v>0.0</v>
      </c>
      <c r="E8" s="183">
        <f t="shared" si="1"/>
        <v>23</v>
      </c>
      <c r="F8" s="272">
        <f t="shared" si="2"/>
        <v>11.5</v>
      </c>
      <c r="G8" s="273" t="str">
        <f>IFERROR(__xludf.DUMMYFUNCTION("IF(AND(B8=0, C8=0), ""—"", SPARKLINE(B8:C8, {""charttype"",""column""; ""color"",""#3B82F6""; ""ymin"",0}))"),"")</f>
        <v/>
      </c>
      <c r="H8" s="281" t="s">
        <v>6</v>
      </c>
      <c r="I8" s="282">
        <f>D44</f>
        <v>0</v>
      </c>
    </row>
    <row r="9" ht="18.75" customHeight="1">
      <c r="A9" s="276" t="s">
        <v>35</v>
      </c>
      <c r="B9" s="277">
        <v>0.0</v>
      </c>
      <c r="C9" s="277">
        <v>0.0</v>
      </c>
      <c r="D9" s="277">
        <v>0.0</v>
      </c>
      <c r="E9" s="278">
        <f t="shared" si="1"/>
        <v>0</v>
      </c>
      <c r="F9" s="279">
        <f t="shared" si="2"/>
        <v>0</v>
      </c>
      <c r="G9" s="280" t="str">
        <f>IFERROR(__xludf.DUMMYFUNCTION("IF(AND(B9=0, C9=0), ""—"", SPARKLINE(B9:C9, {""charttype"",""column""; ""color"",""#3B82F6""; ""ymin"",0}))"),"—")</f>
        <v>—</v>
      </c>
      <c r="H9" s="283"/>
      <c r="I9" s="284"/>
    </row>
    <row r="10" ht="18.75" customHeight="1">
      <c r="A10" s="270" t="s">
        <v>36</v>
      </c>
      <c r="B10" s="271">
        <v>0.0</v>
      </c>
      <c r="C10" s="271">
        <v>0.0</v>
      </c>
      <c r="D10" s="271">
        <v>0.0</v>
      </c>
      <c r="E10" s="183">
        <f t="shared" si="1"/>
        <v>0</v>
      </c>
      <c r="F10" s="272">
        <f t="shared" si="2"/>
        <v>0</v>
      </c>
      <c r="G10" s="273" t="str">
        <f>IFERROR(__xludf.DUMMYFUNCTION("IF(AND(B10=0, C10=0), ""—"", SPARKLINE(B10:C10, {""charttype"",""column""; ""color"",""#3B82F6""; ""ymin"",0}))"),"—")</f>
        <v>—</v>
      </c>
      <c r="H10" s="283"/>
      <c r="I10" s="284"/>
    </row>
    <row r="11" ht="18.75" customHeight="1">
      <c r="A11" s="276" t="s">
        <v>38</v>
      </c>
      <c r="B11" s="277">
        <v>0.0</v>
      </c>
      <c r="C11" s="277">
        <v>0.0</v>
      </c>
      <c r="D11" s="277">
        <v>0.0</v>
      </c>
      <c r="E11" s="278">
        <f t="shared" si="1"/>
        <v>0</v>
      </c>
      <c r="F11" s="279">
        <f t="shared" si="2"/>
        <v>0</v>
      </c>
      <c r="G11" s="280" t="str">
        <f>IFERROR(__xludf.DUMMYFUNCTION("IF(AND(B11=0, C11=0), ""—"", SPARKLINE(B11:C11, {""charttype"",""column""; ""color"",""#3B82F6""; ""ymin"",0}))"),"—")</f>
        <v>—</v>
      </c>
      <c r="H11" s="283"/>
      <c r="I11" s="284"/>
    </row>
    <row r="12" ht="18.75" customHeight="1">
      <c r="A12" s="270" t="s">
        <v>39</v>
      </c>
      <c r="B12" s="271">
        <v>0.0</v>
      </c>
      <c r="C12" s="271">
        <v>0.0</v>
      </c>
      <c r="D12" s="271">
        <v>0.0</v>
      </c>
      <c r="E12" s="183">
        <f t="shared" si="1"/>
        <v>0</v>
      </c>
      <c r="F12" s="272">
        <f t="shared" si="2"/>
        <v>0</v>
      </c>
      <c r="G12" s="273" t="str">
        <f>IFERROR(__xludf.DUMMYFUNCTION("IF(AND(B12=0, C12=0), ""—"", SPARKLINE(B12:C12, {""charttype"",""column""; ""color"",""#3B82F6""; ""ymin"",0}))"),"—")</f>
        <v>—</v>
      </c>
      <c r="H12" s="283"/>
      <c r="I12" s="284"/>
    </row>
    <row r="13" ht="18.75" customHeight="1">
      <c r="A13" s="276" t="s">
        <v>40</v>
      </c>
      <c r="B13" s="277">
        <v>5.0</v>
      </c>
      <c r="C13" s="277">
        <v>46.0</v>
      </c>
      <c r="D13" s="277">
        <v>0.0</v>
      </c>
      <c r="E13" s="278">
        <f t="shared" si="1"/>
        <v>51</v>
      </c>
      <c r="F13" s="279">
        <f t="shared" si="2"/>
        <v>25.5</v>
      </c>
      <c r="G13" s="280" t="str">
        <f>IFERROR(__xludf.DUMMYFUNCTION("IF(AND(B13=0, C13=0), ""—"", SPARKLINE(B13:C13, {""charttype"",""column""; ""color"",""#3B82F6""; ""ymin"",0}))"),"")</f>
        <v/>
      </c>
      <c r="H13" s="283"/>
      <c r="I13" s="284"/>
    </row>
    <row r="14" ht="18.75" customHeight="1">
      <c r="A14" s="270" t="s">
        <v>41</v>
      </c>
      <c r="B14" s="271">
        <v>0.0</v>
      </c>
      <c r="C14" s="271">
        <v>22.0</v>
      </c>
      <c r="D14" s="271">
        <v>0.0</v>
      </c>
      <c r="E14" s="183">
        <f t="shared" si="1"/>
        <v>22</v>
      </c>
      <c r="F14" s="272">
        <f t="shared" si="2"/>
        <v>11</v>
      </c>
      <c r="G14" s="273" t="str">
        <f>IFERROR(__xludf.DUMMYFUNCTION("IF(AND(B14=0, C14=0), ""—"", SPARKLINE(B14:C14, {""charttype"",""column""; ""color"",""#3B82F6""; ""ymin"",0}))"),"")</f>
        <v/>
      </c>
      <c r="H14" s="283"/>
      <c r="I14" s="284"/>
    </row>
    <row r="15" ht="18.75" customHeight="1">
      <c r="A15" s="276" t="s">
        <v>42</v>
      </c>
      <c r="B15" s="277">
        <v>5.0</v>
      </c>
      <c r="C15" s="277">
        <v>6.0</v>
      </c>
      <c r="D15" s="277">
        <v>0.0</v>
      </c>
      <c r="E15" s="278">
        <f t="shared" si="1"/>
        <v>11</v>
      </c>
      <c r="F15" s="279">
        <f t="shared" si="2"/>
        <v>5.5</v>
      </c>
      <c r="G15" s="280" t="str">
        <f>IFERROR(__xludf.DUMMYFUNCTION("IF(AND(B15=0, C15=0), ""—"", SPARKLINE(B15:C15, {""charttype"",""column""; ""color"",""#3B82F6""; ""ymin"",0}))"),"")</f>
        <v/>
      </c>
      <c r="H15" s="283"/>
      <c r="I15" s="284"/>
    </row>
    <row r="16" ht="18.75" customHeight="1">
      <c r="A16" s="270" t="s">
        <v>43</v>
      </c>
      <c r="B16" s="271">
        <v>0.0</v>
      </c>
      <c r="C16" s="271">
        <v>22.0</v>
      </c>
      <c r="D16" s="271">
        <v>0.0</v>
      </c>
      <c r="E16" s="183">
        <f t="shared" si="1"/>
        <v>22</v>
      </c>
      <c r="F16" s="272">
        <f t="shared" si="2"/>
        <v>11</v>
      </c>
      <c r="G16" s="273" t="str">
        <f>IFERROR(__xludf.DUMMYFUNCTION("IF(AND(B16=0, C16=0), ""—"", SPARKLINE(B16:C16, {""charttype"",""column""; ""color"",""#3B82F6""; ""ymin"",0}))"),"")</f>
        <v/>
      </c>
      <c r="H16" s="283"/>
      <c r="I16" s="284"/>
    </row>
    <row r="17" ht="18.75" customHeight="1">
      <c r="A17" s="276" t="s">
        <v>44</v>
      </c>
      <c r="B17" s="277">
        <v>0.0</v>
      </c>
      <c r="C17" s="277">
        <v>0.0</v>
      </c>
      <c r="D17" s="277">
        <v>0.0</v>
      </c>
      <c r="E17" s="278">
        <f t="shared" si="1"/>
        <v>0</v>
      </c>
      <c r="F17" s="279">
        <f t="shared" si="2"/>
        <v>0</v>
      </c>
      <c r="G17" s="280" t="str">
        <f>IFERROR(__xludf.DUMMYFUNCTION("IF(AND(B17=0, C17=0), ""—"", SPARKLINE(B17:C17, {""charttype"",""column""; ""color"",""#3B82F6""; ""ymin"",0}))"),"—")</f>
        <v>—</v>
      </c>
      <c r="H17" s="283"/>
      <c r="I17" s="284"/>
    </row>
    <row r="18" ht="18.75" customHeight="1">
      <c r="A18" s="270" t="s">
        <v>45</v>
      </c>
      <c r="B18" s="271">
        <v>14.0</v>
      </c>
      <c r="C18" s="271">
        <v>0.0</v>
      </c>
      <c r="D18" s="271">
        <v>0.0</v>
      </c>
      <c r="E18" s="183">
        <f t="shared" si="1"/>
        <v>14</v>
      </c>
      <c r="F18" s="272">
        <f t="shared" si="2"/>
        <v>7</v>
      </c>
      <c r="G18" s="273" t="str">
        <f>IFERROR(__xludf.DUMMYFUNCTION("IF(AND(B18=0, C18=0), ""—"", SPARKLINE(B18:C18, {""charttype"",""column""; ""color"",""#3B82F6""; ""ymin"",0}))"),"")</f>
        <v/>
      </c>
      <c r="H18" s="283"/>
      <c r="I18" s="284"/>
    </row>
    <row r="19" ht="18.75" customHeight="1">
      <c r="A19" s="276" t="s">
        <v>46</v>
      </c>
      <c r="B19" s="277">
        <v>0.0</v>
      </c>
      <c r="C19" s="277">
        <v>0.0</v>
      </c>
      <c r="D19" s="277">
        <v>0.0</v>
      </c>
      <c r="E19" s="278">
        <f t="shared" si="1"/>
        <v>0</v>
      </c>
      <c r="F19" s="279">
        <f t="shared" si="2"/>
        <v>0</v>
      </c>
      <c r="G19" s="280" t="str">
        <f>IFERROR(__xludf.DUMMYFUNCTION("IF(AND(B19=0, C19=0), ""—"", SPARKLINE(B19:C19, {""charttype"",""column""; ""color"",""#3B82F6""; ""ymin"",0}))"),"—")</f>
        <v>—</v>
      </c>
      <c r="H19" s="283"/>
      <c r="I19" s="284"/>
    </row>
    <row r="20" ht="18.75" customHeight="1">
      <c r="A20" s="270" t="s">
        <v>47</v>
      </c>
      <c r="B20" s="271">
        <v>34.0</v>
      </c>
      <c r="C20" s="271">
        <v>5.0</v>
      </c>
      <c r="D20" s="271">
        <v>0.0</v>
      </c>
      <c r="E20" s="183">
        <f t="shared" si="1"/>
        <v>39</v>
      </c>
      <c r="F20" s="272">
        <f t="shared" si="2"/>
        <v>19.5</v>
      </c>
      <c r="G20" s="273" t="str">
        <f>IFERROR(__xludf.DUMMYFUNCTION("IF(AND(B20=0, C20=0), ""—"", SPARKLINE(B20:C20, {""charttype"",""column""; ""color"",""#3B82F6""; ""ymin"",0}))"),"")</f>
        <v/>
      </c>
      <c r="H20" s="283"/>
      <c r="I20" s="284"/>
    </row>
    <row r="21" ht="18.75" customHeight="1">
      <c r="A21" s="276" t="s">
        <v>48</v>
      </c>
      <c r="B21" s="277">
        <v>0.0</v>
      </c>
      <c r="C21" s="277">
        <v>0.0</v>
      </c>
      <c r="D21" s="277">
        <v>0.0</v>
      </c>
      <c r="E21" s="278">
        <f t="shared" si="1"/>
        <v>0</v>
      </c>
      <c r="F21" s="279">
        <f t="shared" si="2"/>
        <v>0</v>
      </c>
      <c r="G21" s="280" t="str">
        <f>IFERROR(__xludf.DUMMYFUNCTION("IF(AND(B21=0, C21=0), ""—"", SPARKLINE(B21:C21, {""charttype"",""column""; ""color"",""#3B82F6""; ""ymin"",0}))"),"—")</f>
        <v>—</v>
      </c>
      <c r="H21" s="283"/>
      <c r="I21" s="284"/>
    </row>
    <row r="22" ht="18.75" customHeight="1">
      <c r="A22" s="270" t="s">
        <v>49</v>
      </c>
      <c r="B22" s="271">
        <v>7.0</v>
      </c>
      <c r="C22" s="271">
        <v>0.0</v>
      </c>
      <c r="D22" s="271">
        <v>0.0</v>
      </c>
      <c r="E22" s="183">
        <f t="shared" si="1"/>
        <v>7</v>
      </c>
      <c r="F22" s="272">
        <f t="shared" si="2"/>
        <v>3.5</v>
      </c>
      <c r="G22" s="273" t="str">
        <f>IFERROR(__xludf.DUMMYFUNCTION("IF(AND(B22=0, C22=0), ""—"", SPARKLINE(B22:C22, {""charttype"",""column""; ""color"",""#3B82F6""; ""ymin"",0}))"),"")</f>
        <v/>
      </c>
      <c r="H22" s="283"/>
      <c r="I22" s="284"/>
    </row>
    <row r="23" ht="18.75" customHeight="1">
      <c r="A23" s="276" t="s">
        <v>51</v>
      </c>
      <c r="B23" s="277">
        <v>25.0</v>
      </c>
      <c r="C23" s="277">
        <v>28.0</v>
      </c>
      <c r="D23" s="277">
        <v>0.0</v>
      </c>
      <c r="E23" s="278">
        <f t="shared" si="1"/>
        <v>53</v>
      </c>
      <c r="F23" s="279">
        <f t="shared" si="2"/>
        <v>26.5</v>
      </c>
      <c r="G23" s="280" t="str">
        <f>IFERROR(__xludf.DUMMYFUNCTION("IF(AND(B23=0, C23=0), ""—"", SPARKLINE(B23:C23, {""charttype"",""column""; ""color"",""#3B82F6""; ""ymin"",0}))"),"")</f>
        <v/>
      </c>
      <c r="H23" s="283"/>
      <c r="I23" s="284"/>
    </row>
    <row r="24" ht="18.75" customHeight="1">
      <c r="A24" s="270" t="s">
        <v>52</v>
      </c>
      <c r="B24" s="271">
        <v>0.0</v>
      </c>
      <c r="C24" s="271">
        <v>0.0</v>
      </c>
      <c r="D24" s="271">
        <v>0.0</v>
      </c>
      <c r="E24" s="183">
        <f t="shared" si="1"/>
        <v>0</v>
      </c>
      <c r="F24" s="272">
        <f t="shared" si="2"/>
        <v>0</v>
      </c>
      <c r="G24" s="273" t="str">
        <f>IFERROR(__xludf.DUMMYFUNCTION("IF(AND(B24=0, C24=0), ""—"", SPARKLINE(B24:C24, {""charttype"",""column""; ""color"",""#3B82F6""; ""ymin"",0}))"),"—")</f>
        <v>—</v>
      </c>
      <c r="H24" s="283"/>
      <c r="I24" s="284"/>
    </row>
    <row r="25" ht="18.75" customHeight="1">
      <c r="A25" s="276" t="s">
        <v>53</v>
      </c>
      <c r="B25" s="277">
        <v>0.0</v>
      </c>
      <c r="C25" s="277">
        <v>0.0</v>
      </c>
      <c r="D25" s="277">
        <v>0.0</v>
      </c>
      <c r="E25" s="278">
        <f t="shared" si="1"/>
        <v>0</v>
      </c>
      <c r="F25" s="279">
        <f t="shared" si="2"/>
        <v>0</v>
      </c>
      <c r="G25" s="280" t="str">
        <f>IFERROR(__xludf.DUMMYFUNCTION("IF(AND(B25=0, C25=0), ""—"", SPARKLINE(B25:C25, {""charttype"",""column""; ""color"",""#3B82F6""; ""ymin"",0}))"),"—")</f>
        <v>—</v>
      </c>
      <c r="H25" s="283"/>
      <c r="I25" s="284"/>
    </row>
    <row r="26" ht="18.75" customHeight="1">
      <c r="A26" s="270" t="s">
        <v>54</v>
      </c>
      <c r="B26" s="271">
        <v>4.0</v>
      </c>
      <c r="C26" s="271">
        <v>13.0</v>
      </c>
      <c r="D26" s="271">
        <v>0.0</v>
      </c>
      <c r="E26" s="183">
        <f t="shared" si="1"/>
        <v>17</v>
      </c>
      <c r="F26" s="272">
        <f t="shared" si="2"/>
        <v>8.5</v>
      </c>
      <c r="G26" s="273" t="str">
        <f>IFERROR(__xludf.DUMMYFUNCTION("IF(AND(B26=0, C26=0), ""—"", SPARKLINE(B26:C26, {""charttype"",""column""; ""color"",""#3B82F6""; ""ymin"",0}))"),"")</f>
        <v/>
      </c>
      <c r="H26" s="283"/>
      <c r="I26" s="284"/>
    </row>
    <row r="27" ht="18.75" customHeight="1">
      <c r="A27" s="276" t="s">
        <v>55</v>
      </c>
      <c r="B27" s="277">
        <v>0.0</v>
      </c>
      <c r="C27" s="277">
        <v>0.0</v>
      </c>
      <c r="D27" s="277">
        <v>0.0</v>
      </c>
      <c r="E27" s="278">
        <f t="shared" si="1"/>
        <v>0</v>
      </c>
      <c r="F27" s="279">
        <f t="shared" si="2"/>
        <v>0</v>
      </c>
      <c r="G27" s="280" t="str">
        <f>IFERROR(__xludf.DUMMYFUNCTION("IF(AND(B27=0, C27=0), ""—"", SPARKLINE(B27:C27, {""charttype"",""column""; ""color"",""#3B82F6""; ""ymin"",0}))"),"—")</f>
        <v>—</v>
      </c>
      <c r="H27" s="283"/>
      <c r="I27" s="284"/>
    </row>
    <row r="28" ht="18.75" customHeight="1">
      <c r="A28" s="270" t="s">
        <v>56</v>
      </c>
      <c r="B28" s="271">
        <v>78.0</v>
      </c>
      <c r="C28" s="271">
        <v>97.0</v>
      </c>
      <c r="D28" s="271">
        <v>0.0</v>
      </c>
      <c r="E28" s="183">
        <f t="shared" si="1"/>
        <v>175</v>
      </c>
      <c r="F28" s="272">
        <f t="shared" si="2"/>
        <v>87.5</v>
      </c>
      <c r="G28" s="273" t="str">
        <f>IFERROR(__xludf.DUMMYFUNCTION("IF(AND(B28=0, C28=0), ""—"", SPARKLINE(B28:C28, {""charttype"",""column""; ""color"",""#3B82F6""; ""ymin"",0}))"),"")</f>
        <v/>
      </c>
      <c r="H28" s="283"/>
      <c r="I28" s="284"/>
    </row>
    <row r="29" ht="18.75" customHeight="1">
      <c r="A29" s="276" t="s">
        <v>57</v>
      </c>
      <c r="B29" s="277">
        <v>62.0</v>
      </c>
      <c r="C29" s="277">
        <v>23.0</v>
      </c>
      <c r="D29" s="277">
        <v>0.0</v>
      </c>
      <c r="E29" s="278">
        <f t="shared" si="1"/>
        <v>85</v>
      </c>
      <c r="F29" s="279">
        <f t="shared" si="2"/>
        <v>42.5</v>
      </c>
      <c r="G29" s="280" t="str">
        <f>IFERROR(__xludf.DUMMYFUNCTION("IF(AND(B29=0, C29=0), ""—"", SPARKLINE(B29:C29, {""charttype"",""column""; ""color"",""#3B82F6""; ""ymin"",0}))"),"")</f>
        <v/>
      </c>
      <c r="H29" s="283"/>
      <c r="I29" s="284"/>
    </row>
    <row r="30" ht="18.75" customHeight="1">
      <c r="A30" s="270" t="s">
        <v>58</v>
      </c>
      <c r="B30" s="271">
        <v>10.0</v>
      </c>
      <c r="C30" s="271">
        <v>67.0</v>
      </c>
      <c r="D30" s="271">
        <v>0.0</v>
      </c>
      <c r="E30" s="183">
        <f t="shared" si="1"/>
        <v>77</v>
      </c>
      <c r="F30" s="272">
        <f t="shared" si="2"/>
        <v>38.5</v>
      </c>
      <c r="G30" s="273" t="str">
        <f>IFERROR(__xludf.DUMMYFUNCTION("IF(AND(B30=0, C30=0), ""—"", SPARKLINE(B30:C30, {""charttype"",""column""; ""color"",""#3B82F6""; ""ymin"",0}))"),"")</f>
        <v/>
      </c>
      <c r="H30" s="283"/>
      <c r="I30" s="284"/>
    </row>
    <row r="31" ht="18.75" customHeight="1">
      <c r="A31" s="276" t="s">
        <v>59</v>
      </c>
      <c r="B31" s="277">
        <v>14.0</v>
      </c>
      <c r="C31" s="277">
        <v>36.0</v>
      </c>
      <c r="D31" s="277">
        <v>0.0</v>
      </c>
      <c r="E31" s="278">
        <f t="shared" si="1"/>
        <v>50</v>
      </c>
      <c r="F31" s="279">
        <f t="shared" si="2"/>
        <v>25</v>
      </c>
      <c r="G31" s="280" t="str">
        <f>IFERROR(__xludf.DUMMYFUNCTION("IF(AND(B31=0, C31=0), ""—"", SPARKLINE(B31:C31, {""charttype"",""column""; ""color"",""#3B82F6""; ""ymin"",0}))"),"")</f>
        <v/>
      </c>
      <c r="H31" s="283"/>
      <c r="I31" s="284"/>
    </row>
    <row r="32" ht="18.75" customHeight="1">
      <c r="A32" s="270" t="s">
        <v>60</v>
      </c>
      <c r="B32" s="271">
        <v>27.0</v>
      </c>
      <c r="C32" s="271">
        <v>8.0</v>
      </c>
      <c r="D32" s="271">
        <v>0.0</v>
      </c>
      <c r="E32" s="183">
        <f t="shared" si="1"/>
        <v>35</v>
      </c>
      <c r="F32" s="272">
        <f t="shared" si="2"/>
        <v>17.5</v>
      </c>
      <c r="G32" s="273" t="str">
        <f>IFERROR(__xludf.DUMMYFUNCTION("IF(AND(B32=0, C32=0), ""—"", SPARKLINE(B32:C32, {""charttype"",""column""; ""color"",""#3B82F6""; ""ymin"",0}))"),"")</f>
        <v/>
      </c>
      <c r="H32" s="283"/>
      <c r="I32" s="284"/>
    </row>
    <row r="33" ht="18.75" customHeight="1">
      <c r="A33" s="276" t="s">
        <v>61</v>
      </c>
      <c r="B33" s="277">
        <v>8.0</v>
      </c>
      <c r="C33" s="277">
        <v>15.0</v>
      </c>
      <c r="D33" s="277">
        <v>0.0</v>
      </c>
      <c r="E33" s="278">
        <f t="shared" si="1"/>
        <v>23</v>
      </c>
      <c r="F33" s="279">
        <f t="shared" si="2"/>
        <v>11.5</v>
      </c>
      <c r="G33" s="280" t="str">
        <f>IFERROR(__xludf.DUMMYFUNCTION("IF(AND(B33=0, C33=0), ""—"", SPARKLINE(B33:C33, {""charttype"",""column""; ""color"",""#3B82F6""; ""ymin"",0}))"),"")</f>
        <v/>
      </c>
      <c r="H33" s="283"/>
      <c r="I33" s="284"/>
    </row>
    <row r="34" ht="18.75" customHeight="1">
      <c r="A34" s="270" t="s">
        <v>62</v>
      </c>
      <c r="B34" s="271">
        <v>0.0</v>
      </c>
      <c r="C34" s="271">
        <v>23.0</v>
      </c>
      <c r="D34" s="271">
        <v>0.0</v>
      </c>
      <c r="E34" s="183">
        <f t="shared" si="1"/>
        <v>23</v>
      </c>
      <c r="F34" s="272">
        <f t="shared" si="2"/>
        <v>11.5</v>
      </c>
      <c r="G34" s="273" t="str">
        <f>IFERROR(__xludf.DUMMYFUNCTION("IF(AND(B34=0, C34=0), ""—"", SPARKLINE(B34:C34, {""charttype"",""column""; ""color"",""#3B82F6""; ""ymin"",0}))"),"")</f>
        <v/>
      </c>
      <c r="H34" s="283"/>
      <c r="I34" s="284"/>
    </row>
    <row r="35" ht="18.75" customHeight="1">
      <c r="A35" s="276" t="s">
        <v>63</v>
      </c>
      <c r="B35" s="277">
        <v>3.0</v>
      </c>
      <c r="C35" s="277">
        <v>7.0</v>
      </c>
      <c r="D35" s="277">
        <v>0.0</v>
      </c>
      <c r="E35" s="278">
        <f t="shared" si="1"/>
        <v>10</v>
      </c>
      <c r="F35" s="279">
        <f t="shared" si="2"/>
        <v>5</v>
      </c>
      <c r="G35" s="280" t="str">
        <f>IFERROR(__xludf.DUMMYFUNCTION("IF(AND(B35=0, C35=0), ""—"", SPARKLINE(B35:C35, {""charttype"",""column""; ""color"",""#3B82F6""; ""ymin"",0}))"),"")</f>
        <v/>
      </c>
      <c r="H35" s="283"/>
      <c r="I35" s="284"/>
    </row>
    <row r="36" ht="18.75" customHeight="1">
      <c r="A36" s="270" t="s">
        <v>64</v>
      </c>
      <c r="B36" s="271">
        <v>4.0</v>
      </c>
      <c r="C36" s="271">
        <v>0.0</v>
      </c>
      <c r="D36" s="271">
        <v>0.0</v>
      </c>
      <c r="E36" s="183">
        <f t="shared" si="1"/>
        <v>4</v>
      </c>
      <c r="F36" s="272">
        <f t="shared" si="2"/>
        <v>2</v>
      </c>
      <c r="G36" s="273" t="str">
        <f>IFERROR(__xludf.DUMMYFUNCTION("IF(AND(B36=0, C36=0), ""—"", SPARKLINE(B36:C36, {""charttype"",""column""; ""color"",""#3B82F6""; ""ymin"",0}))"),"")</f>
        <v/>
      </c>
      <c r="H36" s="283"/>
      <c r="I36" s="284"/>
    </row>
    <row r="37" ht="18.75" customHeight="1">
      <c r="A37" s="276" t="s">
        <v>65</v>
      </c>
      <c r="B37" s="277">
        <v>0.0</v>
      </c>
      <c r="C37" s="277">
        <v>8.0</v>
      </c>
      <c r="D37" s="277">
        <v>0.0</v>
      </c>
      <c r="E37" s="278">
        <f t="shared" si="1"/>
        <v>8</v>
      </c>
      <c r="F37" s="279">
        <f t="shared" si="2"/>
        <v>4</v>
      </c>
      <c r="G37" s="280" t="str">
        <f>IFERROR(__xludf.DUMMYFUNCTION("IF(AND(B37=0, C37=0), ""—"", SPARKLINE(B37:C37, {""charttype"",""column""; ""color"",""#3B82F6""; ""ymin"",0}))"),"")</f>
        <v/>
      </c>
      <c r="H37" s="283"/>
      <c r="I37" s="284"/>
    </row>
    <row r="38" ht="18.75" customHeight="1">
      <c r="A38" s="270" t="s">
        <v>66</v>
      </c>
      <c r="B38" s="271">
        <v>0.0</v>
      </c>
      <c r="C38" s="271">
        <v>6.0</v>
      </c>
      <c r="D38" s="271">
        <v>0.0</v>
      </c>
      <c r="E38" s="183">
        <f t="shared" si="1"/>
        <v>6</v>
      </c>
      <c r="F38" s="272">
        <f t="shared" si="2"/>
        <v>3</v>
      </c>
      <c r="G38" s="273" t="str">
        <f>IFERROR(__xludf.DUMMYFUNCTION("IF(AND(B38=0, C38=0), ""—"", SPARKLINE(B38:C38, {""charttype"",""column""; ""color"",""#3B82F6""; ""ymin"",0}))"),"")</f>
        <v/>
      </c>
      <c r="H38" s="283"/>
      <c r="I38" s="284"/>
    </row>
    <row r="39" ht="18.75" customHeight="1">
      <c r="A39" s="276" t="s">
        <v>67</v>
      </c>
      <c r="B39" s="277">
        <v>5.0</v>
      </c>
      <c r="C39" s="277">
        <v>0.0</v>
      </c>
      <c r="D39" s="277">
        <v>0.0</v>
      </c>
      <c r="E39" s="278">
        <f t="shared" si="1"/>
        <v>5</v>
      </c>
      <c r="F39" s="279">
        <f t="shared" si="2"/>
        <v>2.5</v>
      </c>
      <c r="G39" s="280" t="str">
        <f>IFERROR(__xludf.DUMMYFUNCTION("IF(AND(B39=0, C39=0), ""—"", SPARKLINE(B39:C39, {""charttype"",""column""; ""color"",""#3B82F6""; ""ymin"",0}))"),"")</f>
        <v/>
      </c>
      <c r="H39" s="283"/>
      <c r="I39" s="284"/>
    </row>
    <row r="40" ht="18.75" customHeight="1">
      <c r="A40" s="270" t="s">
        <v>68</v>
      </c>
      <c r="B40" s="271">
        <v>4.0</v>
      </c>
      <c r="C40" s="271">
        <v>0.0</v>
      </c>
      <c r="D40" s="271">
        <v>0.0</v>
      </c>
      <c r="E40" s="183">
        <f t="shared" si="1"/>
        <v>4</v>
      </c>
      <c r="F40" s="272">
        <f t="shared" si="2"/>
        <v>2</v>
      </c>
      <c r="G40" s="273" t="str">
        <f>IFERROR(__xludf.DUMMYFUNCTION("IF(AND(B40=0, C40=0), ""—"", SPARKLINE(B40:C40, {""charttype"",""column""; ""color"",""#3B82F6""; ""ymin"",0}))"),"")</f>
        <v/>
      </c>
      <c r="H40" s="283"/>
      <c r="I40" s="284"/>
    </row>
    <row r="41" ht="18.75" customHeight="1">
      <c r="A41" s="276" t="s">
        <v>69</v>
      </c>
      <c r="B41" s="277">
        <v>0.0</v>
      </c>
      <c r="C41" s="277">
        <v>4.0</v>
      </c>
      <c r="D41" s="277">
        <v>0.0</v>
      </c>
      <c r="E41" s="278">
        <f t="shared" si="1"/>
        <v>4</v>
      </c>
      <c r="F41" s="279">
        <f t="shared" si="2"/>
        <v>2</v>
      </c>
      <c r="G41" s="280" t="str">
        <f>IFERROR(__xludf.DUMMYFUNCTION("IF(AND(B41=0, C41=0), ""—"", SPARKLINE(B41:C41, {""charttype"",""column""; ""color"",""#3B82F6""; ""ymin"",0}))"),"")</f>
        <v/>
      </c>
      <c r="H41" s="283"/>
      <c r="I41" s="284"/>
    </row>
    <row r="42" ht="18.75" customHeight="1">
      <c r="A42" s="270" t="s">
        <v>70</v>
      </c>
      <c r="B42" s="271">
        <v>0.0</v>
      </c>
      <c r="C42" s="271">
        <v>2.0</v>
      </c>
      <c r="D42" s="271">
        <v>0.0</v>
      </c>
      <c r="E42" s="183">
        <f t="shared" si="1"/>
        <v>2</v>
      </c>
      <c r="F42" s="272">
        <f t="shared" si="2"/>
        <v>1</v>
      </c>
      <c r="G42" s="273" t="str">
        <f>IFERROR(__xludf.DUMMYFUNCTION("IF(AND(B42=0, C42=0), ""—"", SPARKLINE(B42:C42, {""charttype"",""column""; ""color"",""#3B82F6""; ""ymin"",0}))"),"")</f>
        <v/>
      </c>
      <c r="H42" s="283"/>
      <c r="I42" s="284"/>
    </row>
    <row r="43" ht="18.75" customHeight="1">
      <c r="A43" s="276" t="s">
        <v>71</v>
      </c>
      <c r="B43" s="277">
        <v>0.0</v>
      </c>
      <c r="C43" s="277">
        <v>2.0</v>
      </c>
      <c r="D43" s="277">
        <v>0.0</v>
      </c>
      <c r="E43" s="278">
        <f t="shared" si="1"/>
        <v>2</v>
      </c>
      <c r="F43" s="279">
        <f t="shared" si="2"/>
        <v>1</v>
      </c>
      <c r="G43" s="280" t="str">
        <f>IFERROR(__xludf.DUMMYFUNCTION("IF(AND(B43=0, C43=0), ""—"", SPARKLINE(B43:C43, {""charttype"",""column""; ""color"",""#3B82F6""; ""ymin"",0}))"),"")</f>
        <v/>
      </c>
      <c r="H43" s="283"/>
      <c r="I43" s="284"/>
    </row>
    <row r="44" ht="21.0" customHeight="1">
      <c r="A44" s="285" t="s">
        <v>154</v>
      </c>
      <c r="B44" s="286">
        <f t="shared" ref="B44:E44" si="3">SUM(B6:B43)</f>
        <v>315</v>
      </c>
      <c r="C44" s="286">
        <f t="shared" si="3"/>
        <v>469</v>
      </c>
      <c r="D44" s="286">
        <f t="shared" si="3"/>
        <v>0</v>
      </c>
      <c r="E44" s="286">
        <f t="shared" si="3"/>
        <v>784</v>
      </c>
      <c r="F44" s="287">
        <f t="shared" si="2"/>
        <v>392</v>
      </c>
      <c r="G44" s="288"/>
      <c r="H44" s="289"/>
    </row>
  </sheetData>
  <mergeCells count="14">
    <mergeCell ref="D3:E3"/>
    <mergeCell ref="F3:G3"/>
    <mergeCell ref="B3:C3"/>
    <mergeCell ref="B4:C4"/>
    <mergeCell ref="D4:E4"/>
    <mergeCell ref="F4:G4"/>
    <mergeCell ref="A1:I1"/>
    <mergeCell ref="A2:A4"/>
    <mergeCell ref="B2:C2"/>
    <mergeCell ref="D2:E2"/>
    <mergeCell ref="F2:G2"/>
    <mergeCell ref="H2:I2"/>
    <mergeCell ref="H3:I3"/>
    <mergeCell ref="H4:I4"/>
  </mergeCells>
  <drawing r:id="rId1"/>
  <extLst>
    <ext uri="{05C60535-1F16-4fd2-B633-F4F36F0B64E0}">
      <x14:sparklineGroups>
        <x14:sparklineGroup manualMin="0.0" type="column" displayEmptyCellsAs="gap" minAxisType="custom">
          <x14:colorSeries rgb="FF10B981"/>
          <x14:sparklines>
            <x14:sparkline>
              <xm:f>'Actions Modération'!B44:C44</xm:f>
              <xm:sqref>G44</xm:sqref>
            </x14:sparkline>
          </x14:sparklines>
        </x14:sparklineGroup>
      </x14:sparklineGroups>
    </ext>
  </extLst>
</worksheet>
</file>